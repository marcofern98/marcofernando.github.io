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defaultThemeVersion="202300"/>
  <mc:AlternateContent xmlns:mc="http://schemas.openxmlformats.org/markup-compatibility/2006">
    <mc:Choice Requires="x15">
      <x15ac:absPath xmlns:x15ac="http://schemas.microsoft.com/office/spreadsheetml/2010/11/ac" url="/Users/marco/Downloads/"/>
    </mc:Choice>
  </mc:AlternateContent>
  <xr:revisionPtr revIDLastSave="0" documentId="13_ncr:1_{7759C5C3-43AC-5B4F-ABB1-39EA60DD2945}" xr6:coauthVersionLast="47" xr6:coauthVersionMax="47" xr10:uidLastSave="{00000000-0000-0000-0000-000000000000}"/>
  <bookViews>
    <workbookView xWindow="0" yWindow="760" windowWidth="29840" windowHeight="16800" activeTab="3" xr2:uid="{01CD5AD2-F45D-2148-A8DE-435CC6BE4BC8}"/>
  </bookViews>
  <sheets>
    <sheet name="Raw Data" sheetId="1" r:id="rId1"/>
    <sheet name="Operative_Marco-Fernando_Caputo" sheetId="4" r:id="rId2"/>
    <sheet name="Test" sheetId="2" r:id="rId3"/>
    <sheet name="Pivot" sheetId="3" r:id="rId4"/>
  </sheets>
  <definedNames>
    <definedName name="_xlnm._FilterDatabase" localSheetId="1" hidden="1">'Operative_Marco-Fernando_Caputo'!$A$1:$O$301</definedName>
    <definedName name="_xlnm.Criteria" localSheetId="1">'Operative_Marco-Fernando_Caputo'!$T$1:$T$2</definedName>
  </definedNames>
  <calcPr calcId="191029"/>
  <pivotCaches>
    <pivotCache cacheId="35"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2" i="4" l="1"/>
  <c r="U13" i="4"/>
  <c r="U14" i="4"/>
  <c r="U15" i="4"/>
  <c r="U16" i="4"/>
  <c r="U17" i="4"/>
  <c r="U18" i="4"/>
  <c r="U19" i="4"/>
  <c r="U20" i="4"/>
  <c r="U21" i="4"/>
  <c r="U22" i="4"/>
  <c r="U23" i="4"/>
  <c r="U24" i="4"/>
  <c r="U25" i="4"/>
  <c r="U26" i="4"/>
  <c r="U27" i="4"/>
  <c r="U28" i="4"/>
  <c r="U29" i="4"/>
  <c r="U30" i="4"/>
  <c r="U31" i="4"/>
  <c r="U32" i="4"/>
  <c r="U33" i="4"/>
  <c r="U34" i="4"/>
  <c r="U35" i="4"/>
  <c r="U36" i="4"/>
  <c r="U37" i="4"/>
  <c r="U38" i="4"/>
  <c r="U39" i="4"/>
  <c r="U40" i="4"/>
  <c r="U41" i="4"/>
  <c r="U42" i="4"/>
  <c r="U43" i="4"/>
  <c r="U44" i="4"/>
  <c r="U45" i="4"/>
  <c r="U46" i="4"/>
  <c r="U47" i="4"/>
  <c r="U48" i="4"/>
  <c r="U49" i="4"/>
  <c r="U50" i="4"/>
  <c r="U51" i="4"/>
  <c r="U52" i="4"/>
  <c r="U53" i="4"/>
  <c r="U54" i="4"/>
  <c r="U55" i="4"/>
  <c r="U56" i="4"/>
  <c r="U57" i="4"/>
  <c r="U58" i="4"/>
  <c r="U59" i="4"/>
  <c r="U60" i="4"/>
  <c r="U61" i="4"/>
  <c r="U62" i="4"/>
  <c r="U63" i="4"/>
  <c r="U64" i="4"/>
  <c r="U65" i="4"/>
  <c r="U66" i="4"/>
  <c r="U67" i="4"/>
  <c r="U68" i="4"/>
  <c r="U69" i="4"/>
  <c r="U70" i="4"/>
  <c r="U71" i="4"/>
  <c r="U72" i="4"/>
  <c r="U73" i="4"/>
  <c r="U74" i="4"/>
  <c r="U75" i="4"/>
  <c r="U76" i="4"/>
  <c r="U77" i="4"/>
  <c r="U78" i="4"/>
  <c r="U79" i="4"/>
  <c r="U80" i="4"/>
  <c r="U81" i="4"/>
  <c r="U82" i="4"/>
  <c r="U83" i="4"/>
  <c r="U84" i="4"/>
  <c r="U85" i="4"/>
  <c r="U86" i="4"/>
  <c r="U87" i="4"/>
  <c r="U88" i="4"/>
  <c r="U89" i="4"/>
  <c r="U90" i="4"/>
  <c r="U91" i="4"/>
  <c r="U92" i="4"/>
  <c r="U93" i="4"/>
  <c r="U94" i="4"/>
  <c r="U95" i="4"/>
  <c r="U96" i="4"/>
  <c r="U97" i="4"/>
  <c r="U98" i="4"/>
  <c r="U99" i="4"/>
  <c r="U100" i="4"/>
  <c r="U101" i="4"/>
  <c r="U102" i="4"/>
  <c r="U103" i="4"/>
  <c r="U104" i="4"/>
  <c r="U105" i="4"/>
  <c r="U106" i="4"/>
  <c r="U107" i="4"/>
  <c r="U108" i="4"/>
  <c r="U109" i="4"/>
  <c r="U110" i="4"/>
  <c r="U111" i="4"/>
  <c r="U112" i="4"/>
  <c r="U113" i="4"/>
  <c r="U114" i="4"/>
  <c r="U115" i="4"/>
  <c r="U116" i="4"/>
  <c r="U117" i="4"/>
  <c r="U118" i="4"/>
  <c r="U119" i="4"/>
  <c r="U120" i="4"/>
  <c r="U121" i="4"/>
  <c r="U122" i="4"/>
  <c r="U123" i="4"/>
  <c r="U124" i="4"/>
  <c r="U125" i="4"/>
  <c r="U126" i="4"/>
  <c r="U127" i="4"/>
  <c r="U128" i="4"/>
  <c r="U129" i="4"/>
  <c r="U130" i="4"/>
  <c r="U131" i="4"/>
  <c r="U132" i="4"/>
  <c r="U133" i="4"/>
  <c r="U134" i="4"/>
  <c r="U135" i="4"/>
  <c r="U136" i="4"/>
  <c r="U137" i="4"/>
  <c r="U138" i="4"/>
  <c r="U139" i="4"/>
  <c r="U140" i="4"/>
  <c r="U141" i="4"/>
  <c r="U142" i="4"/>
  <c r="U143" i="4"/>
  <c r="U144" i="4"/>
  <c r="U145" i="4"/>
  <c r="U146" i="4"/>
  <c r="U147" i="4"/>
  <c r="U148" i="4"/>
  <c r="U149" i="4"/>
  <c r="U150" i="4"/>
  <c r="U151" i="4"/>
  <c r="U152" i="4"/>
  <c r="U153" i="4"/>
  <c r="U154" i="4"/>
  <c r="U155" i="4"/>
  <c r="U156" i="4"/>
  <c r="U157" i="4"/>
  <c r="U158" i="4"/>
  <c r="U159" i="4"/>
  <c r="U160" i="4"/>
  <c r="U161" i="4"/>
  <c r="U162" i="4"/>
  <c r="U163" i="4"/>
  <c r="U164" i="4"/>
  <c r="U165" i="4"/>
  <c r="U166" i="4"/>
  <c r="U167" i="4"/>
  <c r="U168" i="4"/>
  <c r="U169" i="4"/>
  <c r="U170" i="4"/>
  <c r="U171" i="4"/>
  <c r="U172" i="4"/>
  <c r="U173" i="4"/>
  <c r="U174" i="4"/>
  <c r="U175" i="4"/>
  <c r="U176" i="4"/>
  <c r="U177" i="4"/>
  <c r="U178" i="4"/>
  <c r="U179" i="4"/>
  <c r="U180" i="4"/>
  <c r="U181" i="4"/>
  <c r="U182" i="4"/>
  <c r="U183" i="4"/>
  <c r="U184" i="4"/>
  <c r="U185" i="4"/>
  <c r="U186" i="4"/>
  <c r="U187" i="4"/>
  <c r="U188" i="4"/>
  <c r="U189" i="4"/>
  <c r="U190" i="4"/>
  <c r="U191" i="4"/>
  <c r="U192" i="4"/>
  <c r="U193" i="4"/>
  <c r="U194" i="4"/>
  <c r="U195" i="4"/>
  <c r="U196" i="4"/>
  <c r="U197" i="4"/>
  <c r="U198" i="4"/>
  <c r="U199" i="4"/>
  <c r="U200" i="4"/>
  <c r="U201" i="4"/>
  <c r="U202" i="4"/>
  <c r="U203" i="4"/>
  <c r="U204" i="4"/>
  <c r="U205" i="4"/>
  <c r="U206" i="4"/>
  <c r="U207" i="4"/>
  <c r="U208" i="4"/>
  <c r="U209" i="4"/>
  <c r="U210" i="4"/>
  <c r="U211" i="4"/>
  <c r="U212" i="4"/>
  <c r="U213" i="4"/>
  <c r="U214" i="4"/>
  <c r="U215" i="4"/>
  <c r="U216" i="4"/>
  <c r="U217" i="4"/>
  <c r="U218" i="4"/>
  <c r="U219" i="4"/>
  <c r="U220" i="4"/>
  <c r="U221" i="4"/>
  <c r="U222" i="4"/>
  <c r="U223" i="4"/>
  <c r="U224" i="4"/>
  <c r="U225" i="4"/>
  <c r="U226" i="4"/>
  <c r="U227" i="4"/>
  <c r="U228" i="4"/>
  <c r="U229" i="4"/>
  <c r="U230" i="4"/>
  <c r="U231" i="4"/>
  <c r="U232" i="4"/>
  <c r="U233" i="4"/>
  <c r="U234" i="4"/>
  <c r="U235" i="4"/>
  <c r="U236" i="4"/>
  <c r="U237" i="4"/>
  <c r="U238" i="4"/>
  <c r="U239" i="4"/>
  <c r="U240" i="4"/>
  <c r="U241" i="4"/>
  <c r="U242" i="4"/>
  <c r="U243" i="4"/>
  <c r="U244" i="4"/>
  <c r="U245" i="4"/>
  <c r="U246" i="4"/>
  <c r="U247" i="4"/>
  <c r="U248" i="4"/>
  <c r="U249" i="4"/>
  <c r="U250" i="4"/>
  <c r="U251" i="4"/>
  <c r="U252" i="4"/>
  <c r="U253" i="4"/>
  <c r="U254" i="4"/>
  <c r="U255" i="4"/>
  <c r="U256" i="4"/>
  <c r="U257" i="4"/>
  <c r="U258" i="4"/>
  <c r="U259" i="4"/>
  <c r="U260" i="4"/>
  <c r="U261" i="4"/>
  <c r="U262" i="4"/>
  <c r="U263" i="4"/>
  <c r="U264" i="4"/>
  <c r="U265" i="4"/>
  <c r="U266" i="4"/>
  <c r="U267" i="4"/>
  <c r="U268" i="4"/>
  <c r="U269" i="4"/>
  <c r="U270" i="4"/>
  <c r="U271" i="4"/>
  <c r="U272" i="4"/>
  <c r="U273" i="4"/>
  <c r="U274" i="4"/>
  <c r="U275" i="4"/>
  <c r="U276" i="4"/>
  <c r="U277" i="4"/>
  <c r="U278" i="4"/>
  <c r="U279" i="4"/>
  <c r="U280" i="4"/>
  <c r="U281" i="4"/>
  <c r="U282" i="4"/>
  <c r="U283" i="4"/>
  <c r="U284" i="4"/>
  <c r="U285" i="4"/>
  <c r="U286" i="4"/>
  <c r="U287" i="4"/>
  <c r="U288" i="4"/>
  <c r="U289" i="4"/>
  <c r="U290" i="4"/>
  <c r="U291" i="4"/>
  <c r="U292" i="4"/>
  <c r="U293" i="4"/>
  <c r="U294" i="4"/>
  <c r="U295" i="4"/>
  <c r="U296" i="4"/>
  <c r="U297" i="4"/>
  <c r="U298" i="4"/>
  <c r="U299" i="4"/>
  <c r="U300" i="4"/>
  <c r="U301" i="4"/>
  <c r="U3" i="4"/>
  <c r="U4" i="4"/>
  <c r="U5" i="4"/>
  <c r="U6" i="4"/>
  <c r="U7" i="4"/>
  <c r="U8" i="4"/>
  <c r="U9" i="4"/>
  <c r="U10" i="4"/>
  <c r="U11" i="4"/>
  <c r="U2" i="4"/>
  <c r="G4" i="4"/>
  <c r="G5" i="4"/>
  <c r="G6" i="4"/>
  <c r="G7" i="4"/>
  <c r="G12" i="4"/>
  <c r="G13" i="4"/>
  <c r="G14" i="4"/>
  <c r="G15" i="4"/>
  <c r="G20" i="4"/>
  <c r="G21" i="4"/>
  <c r="G22" i="4"/>
  <c r="G23" i="4"/>
  <c r="G28" i="4"/>
  <c r="G29" i="4"/>
  <c r="G30" i="4"/>
  <c r="G31" i="4"/>
  <c r="G36" i="4"/>
  <c r="G37" i="4"/>
  <c r="G38" i="4"/>
  <c r="G39" i="4"/>
  <c r="G44" i="4"/>
  <c r="G45" i="4"/>
  <c r="G46" i="4"/>
  <c r="G47" i="4"/>
  <c r="G52" i="4"/>
  <c r="G53" i="4"/>
  <c r="G54" i="4"/>
  <c r="G55" i="4"/>
  <c r="G60" i="4"/>
  <c r="G61" i="4"/>
  <c r="G62" i="4"/>
  <c r="G63" i="4"/>
  <c r="G68" i="4"/>
  <c r="G69" i="4"/>
  <c r="G70" i="4"/>
  <c r="G71" i="4"/>
  <c r="G76" i="4"/>
  <c r="G77" i="4"/>
  <c r="G78" i="4"/>
  <c r="G79" i="4"/>
  <c r="G84" i="4"/>
  <c r="G85" i="4"/>
  <c r="G86" i="4"/>
  <c r="G87" i="4"/>
  <c r="G92" i="4"/>
  <c r="G93" i="4"/>
  <c r="G94" i="4"/>
  <c r="G95" i="4"/>
  <c r="G100" i="4"/>
  <c r="G101" i="4"/>
  <c r="G102" i="4"/>
  <c r="G103" i="4"/>
  <c r="G108" i="4"/>
  <c r="G109" i="4"/>
  <c r="G110" i="4"/>
  <c r="G111" i="4"/>
  <c r="G116" i="4"/>
  <c r="G117" i="4"/>
  <c r="G118" i="4"/>
  <c r="G119" i="4"/>
  <c r="G124" i="4"/>
  <c r="G125" i="4"/>
  <c r="G126" i="4"/>
  <c r="G127" i="4"/>
  <c r="G132" i="4"/>
  <c r="G133" i="4"/>
  <c r="G134" i="4"/>
  <c r="G135" i="4"/>
  <c r="G140" i="4"/>
  <c r="G141" i="4"/>
  <c r="G142" i="4"/>
  <c r="G143" i="4"/>
  <c r="G148" i="4"/>
  <c r="G149" i="4"/>
  <c r="G150" i="4"/>
  <c r="G151" i="4"/>
  <c r="G156" i="4"/>
  <c r="G157" i="4"/>
  <c r="G158" i="4"/>
  <c r="G159" i="4"/>
  <c r="G164" i="4"/>
  <c r="G165" i="4"/>
  <c r="G166" i="4"/>
  <c r="G167" i="4"/>
  <c r="G172" i="4"/>
  <c r="G173" i="4"/>
  <c r="G174" i="4"/>
  <c r="G175" i="4"/>
  <c r="G180" i="4"/>
  <c r="G181" i="4"/>
  <c r="G182" i="4"/>
  <c r="G183" i="4"/>
  <c r="G188" i="4"/>
  <c r="G189" i="4"/>
  <c r="G190" i="4"/>
  <c r="G191" i="4"/>
  <c r="G196" i="4"/>
  <c r="G197" i="4"/>
  <c r="G198" i="4"/>
  <c r="G199" i="4"/>
  <c r="G204" i="4"/>
  <c r="G205" i="4"/>
  <c r="G206" i="4"/>
  <c r="G207" i="4"/>
  <c r="G212" i="4"/>
  <c r="G213" i="4"/>
  <c r="G214" i="4"/>
  <c r="G215" i="4"/>
  <c r="G220" i="4"/>
  <c r="G221" i="4"/>
  <c r="G222" i="4"/>
  <c r="G223" i="4"/>
  <c r="G228" i="4"/>
  <c r="G229" i="4"/>
  <c r="G230" i="4"/>
  <c r="G231" i="4"/>
  <c r="G236" i="4"/>
  <c r="G237" i="4"/>
  <c r="G238" i="4"/>
  <c r="G239" i="4"/>
  <c r="G244" i="4"/>
  <c r="G245" i="4"/>
  <c r="G246" i="4"/>
  <c r="G247" i="4"/>
  <c r="G252" i="4"/>
  <c r="G253" i="4"/>
  <c r="G254" i="4"/>
  <c r="G255" i="4"/>
  <c r="G260" i="4"/>
  <c r="G261" i="4"/>
  <c r="G262" i="4"/>
  <c r="G263" i="4"/>
  <c r="G268" i="4"/>
  <c r="G269" i="4"/>
  <c r="G270" i="4"/>
  <c r="G271" i="4"/>
  <c r="G276" i="4"/>
  <c r="G277" i="4"/>
  <c r="G278" i="4"/>
  <c r="G279" i="4"/>
  <c r="G284" i="4"/>
  <c r="G285" i="4"/>
  <c r="G286" i="4"/>
  <c r="G287" i="4"/>
  <c r="G292" i="4"/>
  <c r="G293" i="4"/>
  <c r="G294" i="4"/>
  <c r="G295" i="4"/>
  <c r="G300" i="4"/>
  <c r="G301" i="4"/>
  <c r="R2" i="4"/>
  <c r="S2" i="4"/>
  <c r="Q2" i="4"/>
  <c r="C5" i="3"/>
  <c r="F2" i="4"/>
  <c r="G2" i="4" s="1"/>
  <c r="F3" i="4"/>
  <c r="G3" i="4" s="1"/>
  <c r="F4" i="4"/>
  <c r="F5" i="4"/>
  <c r="F6" i="4"/>
  <c r="F7" i="4"/>
  <c r="F8" i="4"/>
  <c r="G8" i="4" s="1"/>
  <c r="F9" i="4"/>
  <c r="G9" i="4" s="1"/>
  <c r="F10" i="4"/>
  <c r="G10" i="4" s="1"/>
  <c r="F11" i="4"/>
  <c r="G11" i="4" s="1"/>
  <c r="F12" i="4"/>
  <c r="F13" i="4"/>
  <c r="F14" i="4"/>
  <c r="F15" i="4"/>
  <c r="F16" i="4"/>
  <c r="G16" i="4" s="1"/>
  <c r="F17" i="4"/>
  <c r="G17" i="4" s="1"/>
  <c r="F18" i="4"/>
  <c r="G18" i="4" s="1"/>
  <c r="F19" i="4"/>
  <c r="G19" i="4" s="1"/>
  <c r="F20" i="4"/>
  <c r="F21" i="4"/>
  <c r="F22" i="4"/>
  <c r="F23" i="4"/>
  <c r="F24" i="4"/>
  <c r="G24" i="4" s="1"/>
  <c r="F25" i="4"/>
  <c r="G25" i="4" s="1"/>
  <c r="F26" i="4"/>
  <c r="G26" i="4" s="1"/>
  <c r="F27" i="4"/>
  <c r="G27" i="4" s="1"/>
  <c r="F28" i="4"/>
  <c r="F29" i="4"/>
  <c r="F30" i="4"/>
  <c r="F31" i="4"/>
  <c r="F32" i="4"/>
  <c r="G32" i="4" s="1"/>
  <c r="F33" i="4"/>
  <c r="G33" i="4" s="1"/>
  <c r="F34" i="4"/>
  <c r="G34" i="4" s="1"/>
  <c r="F35" i="4"/>
  <c r="G35" i="4" s="1"/>
  <c r="F36" i="4"/>
  <c r="F37" i="4"/>
  <c r="F38" i="4"/>
  <c r="F39" i="4"/>
  <c r="F40" i="4"/>
  <c r="G40" i="4" s="1"/>
  <c r="F41" i="4"/>
  <c r="G41" i="4" s="1"/>
  <c r="F42" i="4"/>
  <c r="G42" i="4" s="1"/>
  <c r="F43" i="4"/>
  <c r="G43" i="4" s="1"/>
  <c r="F44" i="4"/>
  <c r="F45" i="4"/>
  <c r="F46" i="4"/>
  <c r="F47" i="4"/>
  <c r="F48" i="4"/>
  <c r="G48" i="4" s="1"/>
  <c r="F49" i="4"/>
  <c r="G49" i="4" s="1"/>
  <c r="F50" i="4"/>
  <c r="G50" i="4" s="1"/>
  <c r="F51" i="4"/>
  <c r="G51" i="4" s="1"/>
  <c r="F52" i="4"/>
  <c r="F53" i="4"/>
  <c r="F54" i="4"/>
  <c r="F55" i="4"/>
  <c r="F56" i="4"/>
  <c r="G56" i="4" s="1"/>
  <c r="F57" i="4"/>
  <c r="G57" i="4" s="1"/>
  <c r="F58" i="4"/>
  <c r="G58" i="4" s="1"/>
  <c r="F59" i="4"/>
  <c r="G59" i="4" s="1"/>
  <c r="F60" i="4"/>
  <c r="F61" i="4"/>
  <c r="F62" i="4"/>
  <c r="F63" i="4"/>
  <c r="F64" i="4"/>
  <c r="G64" i="4" s="1"/>
  <c r="F65" i="4"/>
  <c r="G65" i="4" s="1"/>
  <c r="F66" i="4"/>
  <c r="G66" i="4" s="1"/>
  <c r="F67" i="4"/>
  <c r="G67" i="4" s="1"/>
  <c r="F68" i="4"/>
  <c r="F69" i="4"/>
  <c r="F70" i="4"/>
  <c r="F71" i="4"/>
  <c r="F72" i="4"/>
  <c r="G72" i="4" s="1"/>
  <c r="F73" i="4"/>
  <c r="G73" i="4" s="1"/>
  <c r="F74" i="4"/>
  <c r="G74" i="4" s="1"/>
  <c r="F75" i="4"/>
  <c r="G75" i="4" s="1"/>
  <c r="F76" i="4"/>
  <c r="F77" i="4"/>
  <c r="F78" i="4"/>
  <c r="F79" i="4"/>
  <c r="F80" i="4"/>
  <c r="G80" i="4" s="1"/>
  <c r="F81" i="4"/>
  <c r="G81" i="4" s="1"/>
  <c r="F82" i="4"/>
  <c r="G82" i="4" s="1"/>
  <c r="F83" i="4"/>
  <c r="G83" i="4" s="1"/>
  <c r="F84" i="4"/>
  <c r="F85" i="4"/>
  <c r="F86" i="4"/>
  <c r="F87" i="4"/>
  <c r="F88" i="4"/>
  <c r="G88" i="4" s="1"/>
  <c r="F89" i="4"/>
  <c r="G89" i="4" s="1"/>
  <c r="F90" i="4"/>
  <c r="G90" i="4" s="1"/>
  <c r="F91" i="4"/>
  <c r="G91" i="4" s="1"/>
  <c r="F92" i="4"/>
  <c r="F93" i="4"/>
  <c r="F94" i="4"/>
  <c r="F95" i="4"/>
  <c r="F96" i="4"/>
  <c r="G96" i="4" s="1"/>
  <c r="F97" i="4"/>
  <c r="G97" i="4" s="1"/>
  <c r="F98" i="4"/>
  <c r="G98" i="4" s="1"/>
  <c r="F99" i="4"/>
  <c r="G99" i="4" s="1"/>
  <c r="F100" i="4"/>
  <c r="F101" i="4"/>
  <c r="F102" i="4"/>
  <c r="F103" i="4"/>
  <c r="F104" i="4"/>
  <c r="G104" i="4" s="1"/>
  <c r="F105" i="4"/>
  <c r="G105" i="4" s="1"/>
  <c r="F106" i="4"/>
  <c r="G106" i="4" s="1"/>
  <c r="F107" i="4"/>
  <c r="G107" i="4" s="1"/>
  <c r="F108" i="4"/>
  <c r="F109" i="4"/>
  <c r="F110" i="4"/>
  <c r="F111" i="4"/>
  <c r="F112" i="4"/>
  <c r="G112" i="4" s="1"/>
  <c r="F113" i="4"/>
  <c r="G113" i="4" s="1"/>
  <c r="F114" i="4"/>
  <c r="G114" i="4" s="1"/>
  <c r="F115" i="4"/>
  <c r="G115" i="4" s="1"/>
  <c r="F116" i="4"/>
  <c r="F117" i="4"/>
  <c r="F118" i="4"/>
  <c r="F119" i="4"/>
  <c r="F120" i="4"/>
  <c r="G120" i="4" s="1"/>
  <c r="F121" i="4"/>
  <c r="G121" i="4" s="1"/>
  <c r="F122" i="4"/>
  <c r="G122" i="4" s="1"/>
  <c r="F123" i="4"/>
  <c r="G123" i="4" s="1"/>
  <c r="F124" i="4"/>
  <c r="F125" i="4"/>
  <c r="F126" i="4"/>
  <c r="F127" i="4"/>
  <c r="F128" i="4"/>
  <c r="G128" i="4" s="1"/>
  <c r="F129" i="4"/>
  <c r="G129" i="4" s="1"/>
  <c r="F130" i="4"/>
  <c r="G130" i="4" s="1"/>
  <c r="F131" i="4"/>
  <c r="G131" i="4" s="1"/>
  <c r="F132" i="4"/>
  <c r="F133" i="4"/>
  <c r="F134" i="4"/>
  <c r="F135" i="4"/>
  <c r="F136" i="4"/>
  <c r="G136" i="4" s="1"/>
  <c r="F137" i="4"/>
  <c r="G137" i="4" s="1"/>
  <c r="F138" i="4"/>
  <c r="G138" i="4" s="1"/>
  <c r="F139" i="4"/>
  <c r="G139" i="4" s="1"/>
  <c r="F140" i="4"/>
  <c r="F141" i="4"/>
  <c r="F142" i="4"/>
  <c r="F143" i="4"/>
  <c r="F144" i="4"/>
  <c r="G144" i="4" s="1"/>
  <c r="F145" i="4"/>
  <c r="G145" i="4" s="1"/>
  <c r="F146" i="4"/>
  <c r="G146" i="4" s="1"/>
  <c r="F147" i="4"/>
  <c r="G147" i="4" s="1"/>
  <c r="F148" i="4"/>
  <c r="F149" i="4"/>
  <c r="F150" i="4"/>
  <c r="F151" i="4"/>
  <c r="F152" i="4"/>
  <c r="G152" i="4" s="1"/>
  <c r="F153" i="4"/>
  <c r="G153" i="4" s="1"/>
  <c r="F154" i="4"/>
  <c r="G154" i="4" s="1"/>
  <c r="F155" i="4"/>
  <c r="G155" i="4" s="1"/>
  <c r="F156" i="4"/>
  <c r="F157" i="4"/>
  <c r="F158" i="4"/>
  <c r="F159" i="4"/>
  <c r="F160" i="4"/>
  <c r="G160" i="4" s="1"/>
  <c r="F161" i="4"/>
  <c r="G161" i="4" s="1"/>
  <c r="F162" i="4"/>
  <c r="G162" i="4" s="1"/>
  <c r="F163" i="4"/>
  <c r="G163" i="4" s="1"/>
  <c r="F164" i="4"/>
  <c r="F165" i="4"/>
  <c r="F166" i="4"/>
  <c r="F167" i="4"/>
  <c r="F168" i="4"/>
  <c r="G168" i="4" s="1"/>
  <c r="F169" i="4"/>
  <c r="G169" i="4" s="1"/>
  <c r="F170" i="4"/>
  <c r="G170" i="4" s="1"/>
  <c r="F171" i="4"/>
  <c r="G171" i="4" s="1"/>
  <c r="F172" i="4"/>
  <c r="F173" i="4"/>
  <c r="F174" i="4"/>
  <c r="F175" i="4"/>
  <c r="F176" i="4"/>
  <c r="G176" i="4" s="1"/>
  <c r="F177" i="4"/>
  <c r="G177" i="4" s="1"/>
  <c r="F178" i="4"/>
  <c r="G178" i="4" s="1"/>
  <c r="F179" i="4"/>
  <c r="G179" i="4" s="1"/>
  <c r="F180" i="4"/>
  <c r="F181" i="4"/>
  <c r="F182" i="4"/>
  <c r="F183" i="4"/>
  <c r="F184" i="4"/>
  <c r="G184" i="4" s="1"/>
  <c r="F185" i="4"/>
  <c r="G185" i="4" s="1"/>
  <c r="F186" i="4"/>
  <c r="G186" i="4" s="1"/>
  <c r="F187" i="4"/>
  <c r="G187" i="4" s="1"/>
  <c r="F188" i="4"/>
  <c r="F189" i="4"/>
  <c r="F190" i="4"/>
  <c r="F191" i="4"/>
  <c r="F192" i="4"/>
  <c r="G192" i="4" s="1"/>
  <c r="F193" i="4"/>
  <c r="G193" i="4" s="1"/>
  <c r="F194" i="4"/>
  <c r="G194" i="4" s="1"/>
  <c r="F195" i="4"/>
  <c r="G195" i="4" s="1"/>
  <c r="F196" i="4"/>
  <c r="F197" i="4"/>
  <c r="F198" i="4"/>
  <c r="F199" i="4"/>
  <c r="F200" i="4"/>
  <c r="G200" i="4" s="1"/>
  <c r="F201" i="4"/>
  <c r="G201" i="4" s="1"/>
  <c r="F202" i="4"/>
  <c r="G202" i="4" s="1"/>
  <c r="F203" i="4"/>
  <c r="G203" i="4" s="1"/>
  <c r="F204" i="4"/>
  <c r="F205" i="4"/>
  <c r="F206" i="4"/>
  <c r="F207" i="4"/>
  <c r="F208" i="4"/>
  <c r="G208" i="4" s="1"/>
  <c r="F209" i="4"/>
  <c r="G209" i="4" s="1"/>
  <c r="F210" i="4"/>
  <c r="G210" i="4" s="1"/>
  <c r="F211" i="4"/>
  <c r="G211" i="4" s="1"/>
  <c r="F212" i="4"/>
  <c r="F213" i="4"/>
  <c r="F214" i="4"/>
  <c r="F215" i="4"/>
  <c r="F216" i="4"/>
  <c r="G216" i="4" s="1"/>
  <c r="F217" i="4"/>
  <c r="G217" i="4" s="1"/>
  <c r="F218" i="4"/>
  <c r="G218" i="4" s="1"/>
  <c r="F219" i="4"/>
  <c r="G219" i="4" s="1"/>
  <c r="F220" i="4"/>
  <c r="F221" i="4"/>
  <c r="F222" i="4"/>
  <c r="F223" i="4"/>
  <c r="F224" i="4"/>
  <c r="G224" i="4" s="1"/>
  <c r="F225" i="4"/>
  <c r="G225" i="4" s="1"/>
  <c r="F226" i="4"/>
  <c r="G226" i="4" s="1"/>
  <c r="F227" i="4"/>
  <c r="G227" i="4" s="1"/>
  <c r="F228" i="4"/>
  <c r="F229" i="4"/>
  <c r="F230" i="4"/>
  <c r="F231" i="4"/>
  <c r="F232" i="4"/>
  <c r="G232" i="4" s="1"/>
  <c r="F233" i="4"/>
  <c r="G233" i="4" s="1"/>
  <c r="F234" i="4"/>
  <c r="G234" i="4" s="1"/>
  <c r="F235" i="4"/>
  <c r="G235" i="4" s="1"/>
  <c r="F236" i="4"/>
  <c r="F237" i="4"/>
  <c r="F238" i="4"/>
  <c r="F239" i="4"/>
  <c r="F240" i="4"/>
  <c r="G240" i="4" s="1"/>
  <c r="F241" i="4"/>
  <c r="G241" i="4" s="1"/>
  <c r="F242" i="4"/>
  <c r="G242" i="4" s="1"/>
  <c r="F243" i="4"/>
  <c r="G243" i="4" s="1"/>
  <c r="F244" i="4"/>
  <c r="F245" i="4"/>
  <c r="F246" i="4"/>
  <c r="F247" i="4"/>
  <c r="F248" i="4"/>
  <c r="G248" i="4" s="1"/>
  <c r="F249" i="4"/>
  <c r="G249" i="4" s="1"/>
  <c r="F250" i="4"/>
  <c r="G250" i="4" s="1"/>
  <c r="F251" i="4"/>
  <c r="G251" i="4" s="1"/>
  <c r="F252" i="4"/>
  <c r="F253" i="4"/>
  <c r="F254" i="4"/>
  <c r="F255" i="4"/>
  <c r="F256" i="4"/>
  <c r="G256" i="4" s="1"/>
  <c r="F257" i="4"/>
  <c r="G257" i="4" s="1"/>
  <c r="F258" i="4"/>
  <c r="G258" i="4" s="1"/>
  <c r="F259" i="4"/>
  <c r="G259" i="4" s="1"/>
  <c r="F260" i="4"/>
  <c r="F261" i="4"/>
  <c r="F262" i="4"/>
  <c r="F263" i="4"/>
  <c r="F264" i="4"/>
  <c r="G264" i="4" s="1"/>
  <c r="F265" i="4"/>
  <c r="G265" i="4" s="1"/>
  <c r="F266" i="4"/>
  <c r="G266" i="4" s="1"/>
  <c r="F267" i="4"/>
  <c r="G267" i="4" s="1"/>
  <c r="F268" i="4"/>
  <c r="F269" i="4"/>
  <c r="F270" i="4"/>
  <c r="F271" i="4"/>
  <c r="F272" i="4"/>
  <c r="G272" i="4" s="1"/>
  <c r="F273" i="4"/>
  <c r="G273" i="4" s="1"/>
  <c r="F274" i="4"/>
  <c r="G274" i="4" s="1"/>
  <c r="F275" i="4"/>
  <c r="G275" i="4" s="1"/>
  <c r="F276" i="4"/>
  <c r="F277" i="4"/>
  <c r="F278" i="4"/>
  <c r="F279" i="4"/>
  <c r="F280" i="4"/>
  <c r="G280" i="4" s="1"/>
  <c r="F281" i="4"/>
  <c r="G281" i="4" s="1"/>
  <c r="F282" i="4"/>
  <c r="G282" i="4" s="1"/>
  <c r="F283" i="4"/>
  <c r="G283" i="4" s="1"/>
  <c r="F284" i="4"/>
  <c r="F285" i="4"/>
  <c r="F286" i="4"/>
  <c r="F287" i="4"/>
  <c r="F288" i="4"/>
  <c r="G288" i="4" s="1"/>
  <c r="F289" i="4"/>
  <c r="G289" i="4" s="1"/>
  <c r="F290" i="4"/>
  <c r="G290" i="4" s="1"/>
  <c r="F291" i="4"/>
  <c r="G291" i="4" s="1"/>
  <c r="F292" i="4"/>
  <c r="F293" i="4"/>
  <c r="F294" i="4"/>
  <c r="F295" i="4"/>
  <c r="F296" i="4"/>
  <c r="G296" i="4" s="1"/>
  <c r="F297" i="4"/>
  <c r="G297" i="4" s="1"/>
  <c r="F298" i="4"/>
  <c r="G298" i="4" s="1"/>
  <c r="F299" i="4"/>
  <c r="G299" i="4" s="1"/>
  <c r="F300" i="4"/>
  <c r="F301" i="4"/>
  <c r="F31" i="3"/>
</calcChain>
</file>

<file path=xl/sharedStrings.xml><?xml version="1.0" encoding="utf-8"?>
<sst xmlns="http://schemas.openxmlformats.org/spreadsheetml/2006/main" count="3710" uniqueCount="693">
  <si>
    <t>ID - Utente</t>
  </si>
  <si>
    <t>Indirizzo Airbnb</t>
  </si>
  <si>
    <t>Città Airbnb</t>
  </si>
  <si>
    <t>Costo a Notte (€)</t>
  </si>
  <si>
    <t>Numero Notti</t>
  </si>
  <si>
    <t>Paese di provenienza</t>
  </si>
  <si>
    <t>Data di Nascita</t>
  </si>
  <si>
    <t>Membri della Famiglia</t>
  </si>
  <si>
    <t>Valutazione</t>
  </si>
  <si>
    <t>Valutazione sull'attenzione all'ambiente della città</t>
  </si>
  <si>
    <t>Rent Mezzo - Auto</t>
  </si>
  <si>
    <t>Rent Mezzo - Biciletta</t>
  </si>
  <si>
    <t>Rent Mezzo - Monopattino</t>
  </si>
  <si>
    <t>Ap #257-5309 Fringilla. Avenue</t>
  </si>
  <si>
    <t>Ede</t>
  </si>
  <si>
    <t>France</t>
  </si>
  <si>
    <t>No</t>
  </si>
  <si>
    <t>Sì</t>
  </si>
  <si>
    <t>8531 Eget Rd.</t>
  </si>
  <si>
    <t>Drammen</t>
  </si>
  <si>
    <t>Netherlands</t>
  </si>
  <si>
    <t>P.O. Box 620, 4294 Habitant St.</t>
  </si>
  <si>
    <t>Gliwice</t>
  </si>
  <si>
    <t>Norway</t>
  </si>
  <si>
    <t>P.O. Box 570, 7035 Dui Rd.</t>
  </si>
  <si>
    <t>Bally</t>
  </si>
  <si>
    <t>Ukraine</t>
  </si>
  <si>
    <t>509-5668 Neque Ave</t>
  </si>
  <si>
    <t>Medio Atrato</t>
  </si>
  <si>
    <t>South Korea</t>
  </si>
  <si>
    <t>Ap #147-9766 A, Road</t>
  </si>
  <si>
    <t>Pacasmayo</t>
  </si>
  <si>
    <t>Ap #111-2125 Mollis. Av.</t>
  </si>
  <si>
    <t>Sarpsborg</t>
  </si>
  <si>
    <t>Vietnam</t>
  </si>
  <si>
    <t>3112 Sed Rd.</t>
  </si>
  <si>
    <t>Randburg</t>
  </si>
  <si>
    <t>Mexico</t>
  </si>
  <si>
    <t>637-1093 Mauris. Avenue</t>
  </si>
  <si>
    <t>Yenakiieve</t>
  </si>
  <si>
    <t>Colombia</t>
  </si>
  <si>
    <t>Ap #500-9652 Tellus Road</t>
  </si>
  <si>
    <t>Belfast</t>
  </si>
  <si>
    <t>755-4790 Risus, Street</t>
  </si>
  <si>
    <t>Dublin</t>
  </si>
  <si>
    <t>Australia</t>
  </si>
  <si>
    <t>4467 Non, Road</t>
  </si>
  <si>
    <t>Shillong</t>
  </si>
  <si>
    <t>China</t>
  </si>
  <si>
    <t>3075 Tempor Av.</t>
  </si>
  <si>
    <t>Central Water Catchment</t>
  </si>
  <si>
    <t>Ap #813-5826 Vestibulum, St.</t>
  </si>
  <si>
    <t>Olathe</t>
  </si>
  <si>
    <t>Indonesia</t>
  </si>
  <si>
    <t>936-1400 Cum Road</t>
  </si>
  <si>
    <t>Springfield</t>
  </si>
  <si>
    <t>Ap #851-3607 Semper Ave</t>
  </si>
  <si>
    <t>San Carlos</t>
  </si>
  <si>
    <t>Philippines</t>
  </si>
  <si>
    <t>532 Netus Road</t>
  </si>
  <si>
    <t>Morrinsville</t>
  </si>
  <si>
    <t>316 Arcu. Road</t>
  </si>
  <si>
    <t>Nevers</t>
  </si>
  <si>
    <t>Belgium</t>
  </si>
  <si>
    <t>Ap #353-4127 In Av.</t>
  </si>
  <si>
    <t>Germny</t>
  </si>
  <si>
    <t>383-5707 Lacus. Street</t>
  </si>
  <si>
    <t>Peru</t>
  </si>
  <si>
    <t>545 Semper St.</t>
  </si>
  <si>
    <t>Saintes</t>
  </si>
  <si>
    <t>Italy</t>
  </si>
  <si>
    <t>Ap #196-6494 Ac Road</t>
  </si>
  <si>
    <t>Kirkwall</t>
  </si>
  <si>
    <t>Russian Federation</t>
  </si>
  <si>
    <t>Ap #848-3365 Sed Av.</t>
  </si>
  <si>
    <t>Elx</t>
  </si>
  <si>
    <t>Pakistan</t>
  </si>
  <si>
    <t>6759 Augue Street</t>
  </si>
  <si>
    <t>Lisieux</t>
  </si>
  <si>
    <t>424-2497 Integer St.</t>
  </si>
  <si>
    <t>Purnea</t>
  </si>
  <si>
    <t>303-7208 Pharetra. St.</t>
  </si>
  <si>
    <t>United States</t>
  </si>
  <si>
    <t>P.O. Box 164, 5952 Vivamus Av.</t>
  </si>
  <si>
    <t>Dibrugarh</t>
  </si>
  <si>
    <t>Ap #444-2218 Nisi Road</t>
  </si>
  <si>
    <t>Contulmo</t>
  </si>
  <si>
    <t>Ap #977-5561 Non Ave</t>
  </si>
  <si>
    <t>Vanersborg</t>
  </si>
  <si>
    <t>Ap #831-8016 Aenean Street</t>
  </si>
  <si>
    <t>Ligosullo</t>
  </si>
  <si>
    <t>Chile</t>
  </si>
  <si>
    <t>7007 Nunc Ave</t>
  </si>
  <si>
    <t>Surigao City</t>
  </si>
  <si>
    <t>Turkey</t>
  </si>
  <si>
    <t>386-7912 Penatibus Rd.</t>
  </si>
  <si>
    <t>Scena/Schenna</t>
  </si>
  <si>
    <t>571-3079 Mauris. Rd.</t>
  </si>
  <si>
    <t>Hallein</t>
  </si>
  <si>
    <t>Ap #256-536 Dolor Rd.</t>
  </si>
  <si>
    <t>Whangarei</t>
  </si>
  <si>
    <t>Poland</t>
  </si>
  <si>
    <t>1535 Aliquam Street</t>
  </si>
  <si>
    <t>Raichur</t>
  </si>
  <si>
    <t>4709 Ut St.</t>
  </si>
  <si>
    <t>Ap #335-8006 Eget, Rd.</t>
  </si>
  <si>
    <t>Albany</t>
  </si>
  <si>
    <t>Ap #702-2747 Ut Ave</t>
  </si>
  <si>
    <t>Rahimyar Khan</t>
  </si>
  <si>
    <t>Ireland</t>
  </si>
  <si>
    <t>8040 Eu Ave</t>
  </si>
  <si>
    <t>Kuruman</t>
  </si>
  <si>
    <t>487-2377 Et Rd.</t>
  </si>
  <si>
    <t>Apartadó</t>
  </si>
  <si>
    <t>P.O. Box 305, 4592 Risus. Av.</t>
  </si>
  <si>
    <t>Leersum</t>
  </si>
  <si>
    <t>4059 Mauris Street</t>
  </si>
  <si>
    <t>Adana</t>
  </si>
  <si>
    <t>970-8387 Suspendisse Street</t>
  </si>
  <si>
    <t>Muradiye</t>
  </si>
  <si>
    <t>407-6919 Et, Ave</t>
  </si>
  <si>
    <t>Barranco Minas</t>
  </si>
  <si>
    <t>Ap #358-9082 Praesent Rd.</t>
  </si>
  <si>
    <t>Llaillay</t>
  </si>
  <si>
    <t>India</t>
  </si>
  <si>
    <t>9692 Lectus Road</t>
  </si>
  <si>
    <t>Darwin</t>
  </si>
  <si>
    <t>South Africa</t>
  </si>
  <si>
    <t>P.O. Box 816, 7077 Augue Road</t>
  </si>
  <si>
    <t>Wieze</t>
  </si>
  <si>
    <t>Canada</t>
  </si>
  <si>
    <t>562-9178 Tincidunt Rd.</t>
  </si>
  <si>
    <t>Machelen</t>
  </si>
  <si>
    <t>977-5838 Non St.</t>
  </si>
  <si>
    <t>Sengkang</t>
  </si>
  <si>
    <t>Ap #934-9893 Sed, St.</t>
  </si>
  <si>
    <t>Thabazimbi</t>
  </si>
  <si>
    <t>Costa Rica</t>
  </si>
  <si>
    <t>Ap #307-5764 Interdum Street</t>
  </si>
  <si>
    <t>Uyo</t>
  </si>
  <si>
    <t>Ap #946-1886 Morbi Ave</t>
  </si>
  <si>
    <t>Tarnów</t>
  </si>
  <si>
    <t>Nigeria</t>
  </si>
  <si>
    <t>1371 Aliquam Rd.</t>
  </si>
  <si>
    <t>Oslo</t>
  </si>
  <si>
    <t>191-7433 Enim St.</t>
  </si>
  <si>
    <t>Anapolis</t>
  </si>
  <si>
    <t>Spain</t>
  </si>
  <si>
    <t>272-3678 Massa. Avenue</t>
  </si>
  <si>
    <t>Montigny-las-Metz</t>
  </si>
  <si>
    <t>Ap #947-4789 Libero St.</t>
  </si>
  <si>
    <t>Corroy-le-Châeteau</t>
  </si>
  <si>
    <t>P.O. Box 415, 6144 Mauris St.</t>
  </si>
  <si>
    <t>Cusco</t>
  </si>
  <si>
    <t>678-5365 Enim. Avenue</t>
  </si>
  <si>
    <t>Haaloch</t>
  </si>
  <si>
    <t>Ap #541-3259 Egestas Ave</t>
  </si>
  <si>
    <t>Germiston</t>
  </si>
  <si>
    <t>482-6101 Donec Avenue</t>
  </si>
  <si>
    <t>Agartala</t>
  </si>
  <si>
    <t>P.O. Box 766, 1927 Consequat St.</t>
  </si>
  <si>
    <t>Koppervik</t>
  </si>
  <si>
    <t>P.O. Box 162, 4202 Sem. Street</t>
  </si>
  <si>
    <t>Yunnan</t>
  </si>
  <si>
    <t>Brazil</t>
  </si>
  <si>
    <t>P.O. Box 935, 4240 Sem. Street</t>
  </si>
  <si>
    <t>Tarakan</t>
  </si>
  <si>
    <t>Ap #893-7480 Ipsum St.</t>
  </si>
  <si>
    <t>PÄarbaÅŸÄ</t>
  </si>
  <si>
    <t>959-5475 Nascetur Rd.</t>
  </si>
  <si>
    <t>Tabaco</t>
  </si>
  <si>
    <t>Ap #763-4986 Mauris St.</t>
  </si>
  <si>
    <t>Andong</t>
  </si>
  <si>
    <t>P.O. Box 296, 7265 Sem, Avenue</t>
  </si>
  <si>
    <t>Loupoigne</t>
  </si>
  <si>
    <t>923-1112 Ornare, St.</t>
  </si>
  <si>
    <t>Beausejour</t>
  </si>
  <si>
    <t>P.O. Box 640, 7680 Odio. Rd.</t>
  </si>
  <si>
    <t>Ludlow</t>
  </si>
  <si>
    <t>United Kingdom</t>
  </si>
  <si>
    <t>708-9419 Congue, Street</t>
  </si>
  <si>
    <t>Tame</t>
  </si>
  <si>
    <t>P.O. Box 983, 6635 Nunc Av.</t>
  </si>
  <si>
    <t>Castanhal</t>
  </si>
  <si>
    <t>Germany</t>
  </si>
  <si>
    <t>573-8240 Nulla Rd.</t>
  </si>
  <si>
    <t>Salvador</t>
  </si>
  <si>
    <t>P.O. Box 318, 7990 Velit. Road</t>
  </si>
  <si>
    <t>Te Awamutu</t>
  </si>
  <si>
    <t>New Zealand</t>
  </si>
  <si>
    <t>692-4812 Aliquet Avenue</t>
  </si>
  <si>
    <t>Puntarenas</t>
  </si>
  <si>
    <t>183-5830 In, St.</t>
  </si>
  <si>
    <t>Anhui</t>
  </si>
  <si>
    <t>Austria</t>
  </si>
  <si>
    <t>P.O. Box 174, 6258 Rutrum Avenue</t>
  </si>
  <si>
    <t>Hunan</t>
  </si>
  <si>
    <t>Ap #332-5612 Elit. St.</t>
  </si>
  <si>
    <t>Saint-Louis</t>
  </si>
  <si>
    <t>2340 Leo. Avenue</t>
  </si>
  <si>
    <t>Jiangxi</t>
  </si>
  <si>
    <t>8082 Sit Rd.</t>
  </si>
  <si>
    <t>Kohima</t>
  </si>
  <si>
    <t>P.O. Box 328, 5467 Ultrices St.</t>
  </si>
  <si>
    <t>South Jakarta</t>
  </si>
  <si>
    <t>947-3701 Convallis St.</t>
  </si>
  <si>
    <t>Notodden</t>
  </si>
  <si>
    <t>Ap #469-5317 Ut, St.</t>
  </si>
  <si>
    <t>Oviedo</t>
  </si>
  <si>
    <t>187-4613 Amet Rd.</t>
  </si>
  <si>
    <t>Veenendaal</t>
  </si>
  <si>
    <t>Ap #829-6698 Neque St.</t>
  </si>
  <si>
    <t>SuwaÅ‚ki</t>
  </si>
  <si>
    <t>Ap #535-9361 Tincidunt. Avenue</t>
  </si>
  <si>
    <t>Natales</t>
  </si>
  <si>
    <t>273-5901 Urna Street</t>
  </si>
  <si>
    <t>Sicuani</t>
  </si>
  <si>
    <t>Ap #567-5426 Ut Road</t>
  </si>
  <si>
    <t>Vashkivtsi</t>
  </si>
  <si>
    <t>Ap #856-1109 Tellus Rd.</t>
  </si>
  <si>
    <t>Aizwal</t>
  </si>
  <si>
    <t>855-6620 Urna. Avenue</t>
  </si>
  <si>
    <t>Hái PhÃng</t>
  </si>
  <si>
    <t>Ap #885-7363 Pede. Road</t>
  </si>
  <si>
    <t>Yeongju</t>
  </si>
  <si>
    <t>Ap #383-1098 Curabitur Road</t>
  </si>
  <si>
    <t>Zele</t>
  </si>
  <si>
    <t>496-5978 Tellus. St.</t>
  </si>
  <si>
    <t>Dnipro</t>
  </si>
  <si>
    <t>973-2486 Tincidunt St.</t>
  </si>
  <si>
    <t>Limoges</t>
  </si>
  <si>
    <t>Ap #899-1389 Cubilia Rd.</t>
  </si>
  <si>
    <t>Melitopol</t>
  </si>
  <si>
    <t>6823 Nascetur Rd.</t>
  </si>
  <si>
    <t>Lansing</t>
  </si>
  <si>
    <t>402-1407 Metus. Street</t>
  </si>
  <si>
    <t>Seogwipo</t>
  </si>
  <si>
    <t>9396 Convallis, Av.</t>
  </si>
  <si>
    <t>Baybay</t>
  </si>
  <si>
    <t>447-9096 Eu, Rd.</t>
  </si>
  <si>
    <t>Sterling Heights</t>
  </si>
  <si>
    <t>P.O. Box 375, 5828 Orci St.</t>
  </si>
  <si>
    <t>Ingelheim</t>
  </si>
  <si>
    <t>P.O. Box 335, 473 Tortor St.</t>
  </si>
  <si>
    <t>AlingsÃs</t>
  </si>
  <si>
    <t>P.O. Box 295, 6026 Rutrum St.</t>
  </si>
  <si>
    <t>Singapore</t>
  </si>
  <si>
    <t>Ap #900-698 Erat St.</t>
  </si>
  <si>
    <t>Imphal</t>
  </si>
  <si>
    <t>P.O. Box 401, 1442 Varius Street</t>
  </si>
  <si>
    <t>Okene</t>
  </si>
  <si>
    <t>Ap #616-6051 Hendrerit. St.</t>
  </si>
  <si>
    <t>Virginia</t>
  </si>
  <si>
    <t>P.O. Box 401, 3984 Faucibus Av.</t>
  </si>
  <si>
    <t>Khushab</t>
  </si>
  <si>
    <t>Ap #994-264 Sem Rd.</t>
  </si>
  <si>
    <t>Jeongeup</t>
  </si>
  <si>
    <t>Ap #126-9569 Mauris Ave</t>
  </si>
  <si>
    <t>Tuy HÃa</t>
  </si>
  <si>
    <t>5710 Ornare Avenue</t>
  </si>
  <si>
    <t>Pondicherry</t>
  </si>
  <si>
    <t>P.O. Box 140, 4500 Arcu Street</t>
  </si>
  <si>
    <t>Berdiansk</t>
  </si>
  <si>
    <t>328-1038 Aliquam Rd.</t>
  </si>
  <si>
    <t>Lagos</t>
  </si>
  <si>
    <t>P.O. Box 871, 2952 Cursus Av.</t>
  </si>
  <si>
    <t>Serang</t>
  </si>
  <si>
    <t>890-1779 Augue Road</t>
  </si>
  <si>
    <t>Tibet</t>
  </si>
  <si>
    <t>P.O. Box 188, 463 Lectus Ave</t>
  </si>
  <si>
    <t>GÃteborg</t>
  </si>
  <si>
    <t>351-5197 Donec Avenue</t>
  </si>
  <si>
    <t>Leticia</t>
  </si>
  <si>
    <t>Ap #146-5874 Enim Rd.</t>
  </si>
  <si>
    <t>Tengah</t>
  </si>
  <si>
    <t>Ap #843-849 Augue St.</t>
  </si>
  <si>
    <t>Hilversum</t>
  </si>
  <si>
    <t>628-5064 Non Avenue</t>
  </si>
  <si>
    <t>North Waziristan</t>
  </si>
  <si>
    <t>546 Facilisis Rd.</t>
  </si>
  <si>
    <t>Gansu</t>
  </si>
  <si>
    <t>959-7239 Eu Av.</t>
  </si>
  <si>
    <t>Annapolis Royal</t>
  </si>
  <si>
    <t>P.O. Box 676, 4733 Mauris. Street</t>
  </si>
  <si>
    <t>Iquitos</t>
  </si>
  <si>
    <t>382 At Av.</t>
  </si>
  <si>
    <t>Pirmasens</t>
  </si>
  <si>
    <t>P.O. Box 199, 9620 Nullam Avenue</t>
  </si>
  <si>
    <t>Odda</t>
  </si>
  <si>
    <t>7128 In, Ave</t>
  </si>
  <si>
    <t>Lo Espejo</t>
  </si>
  <si>
    <t>Sweden</t>
  </si>
  <si>
    <t>Ap #268-111 Scelerisque St.</t>
  </si>
  <si>
    <t>Vienna</t>
  </si>
  <si>
    <t>606-1073 Integer Rd.</t>
  </si>
  <si>
    <t>LeÃn</t>
  </si>
  <si>
    <t>Ap #725-9500 Cum Street</t>
  </si>
  <si>
    <t>Warri</t>
  </si>
  <si>
    <t>Ap #290-5439 Arcu. Street</t>
  </si>
  <si>
    <t>VÃrnamo</t>
  </si>
  <si>
    <t>Ap #703-3573 Mauris Street</t>
  </si>
  <si>
    <t>Putre</t>
  </si>
  <si>
    <t>Ap #423-7312 Venenatis Street</t>
  </si>
  <si>
    <t>NÃssjÃu</t>
  </si>
  <si>
    <t>Ap #319-1152 Diam. Av.</t>
  </si>
  <si>
    <t>Brechin</t>
  </si>
  <si>
    <t>Ap #986-5608 Nonummy Ave</t>
  </si>
  <si>
    <t>Tokoroa</t>
  </si>
  <si>
    <t>Ap #589-8863 Id Rd.</t>
  </si>
  <si>
    <t>Noicattaro</t>
  </si>
  <si>
    <t>985-197 Dignissim Rd.</t>
  </si>
  <si>
    <t>Weert</t>
  </si>
  <si>
    <t>Ap #641-449 Morbi Street</t>
  </si>
  <si>
    <t>San Fernando</t>
  </si>
  <si>
    <t>P.O. Box 719, 6571 Felis, St.</t>
  </si>
  <si>
    <t>Newcastle</t>
  </si>
  <si>
    <t>Ap #109-3545 Diam. Avenue</t>
  </si>
  <si>
    <t>Hawick</t>
  </si>
  <si>
    <t>P.O. Box 701, 5573 Ultricies Av.</t>
  </si>
  <si>
    <t>Stratford</t>
  </si>
  <si>
    <t>996-3985 Ut Avenue</t>
  </si>
  <si>
    <t>Mariupol</t>
  </si>
  <si>
    <t>Ap #229-1568 Rutrum Ave</t>
  </si>
  <si>
    <t>Bengkulu</t>
  </si>
  <si>
    <t>850-7934 Libero. Av.</t>
  </si>
  <si>
    <t>Tiel</t>
  </si>
  <si>
    <t>348-1469 Risus. Street</t>
  </si>
  <si>
    <t>Gorinchem</t>
  </si>
  <si>
    <t>4205 Sem. St.</t>
  </si>
  <si>
    <t>Tregaron</t>
  </si>
  <si>
    <t>706-1891 Sapien. Street</t>
  </si>
  <si>
    <t>Bruck an der Mur</t>
  </si>
  <si>
    <t>P.O. Box 523, 2555 Etiam Street</t>
  </si>
  <si>
    <t>Acquasanta Terme</t>
  </si>
  <si>
    <t>P.O. Box 270, 9685 Ultrices Av.</t>
  </si>
  <si>
    <t>Baltasound</t>
  </si>
  <si>
    <t>P.O. Box 255, 8499 Euismod Rd.</t>
  </si>
  <si>
    <t>Dutse</t>
  </si>
  <si>
    <t>578-569 Ut Rd.</t>
  </si>
  <si>
    <t>Ila</t>
  </si>
  <si>
    <t>P.O. Box 107, 4678 Libero Rd.</t>
  </si>
  <si>
    <t>Tagbilaran</t>
  </si>
  <si>
    <t>534-3131 Purus. Av.</t>
  </si>
  <si>
    <t>Bergen</t>
  </si>
  <si>
    <t>Ap #639-2928 A Av.</t>
  </si>
  <si>
    <t>Billings</t>
  </si>
  <si>
    <t>727-3830 Nunc Rd.</t>
  </si>
  <si>
    <t>Quy Nhaen</t>
  </si>
  <si>
    <t>P.O. Box 870, 2648 Dignissim St.</t>
  </si>
  <si>
    <t>Gadag Betigeri</t>
  </si>
  <si>
    <t>757-8133 Auctor Avenue</t>
  </si>
  <si>
    <t>Murcia</t>
  </si>
  <si>
    <t>1635 Ornare Street</t>
  </si>
  <si>
    <t>Cork</t>
  </si>
  <si>
    <t>Ap #398-3787 Mauris Rd.</t>
  </si>
  <si>
    <t>Sapele</t>
  </si>
  <si>
    <t>312-407 Sit Rd.</t>
  </si>
  <si>
    <t>LinkÃping</t>
  </si>
  <si>
    <t>3679 Bibendum Road</t>
  </si>
  <si>
    <t>MÅlin</t>
  </si>
  <si>
    <t>497-4992 Orci. Road</t>
  </si>
  <si>
    <t>Panjim</t>
  </si>
  <si>
    <t>577-7529 Scelerisque, Ave</t>
  </si>
  <si>
    <t>Kurram Agency</t>
  </si>
  <si>
    <t>104-8476 Aliquam Av.</t>
  </si>
  <si>
    <t>Kaaskerke</t>
  </si>
  <si>
    <t>962-5985 Nam Ave</t>
  </si>
  <si>
    <t>Brahmapur</t>
  </si>
  <si>
    <t>Ap #719-4908 Felis Rd.</t>
  </si>
  <si>
    <t>Watson Lake</t>
  </si>
  <si>
    <t>747-3083 Ante Rd.</t>
  </si>
  <si>
    <t>SchwÃbisch GmÃnd</t>
  </si>
  <si>
    <t>Ap #581-6611 In Av.</t>
  </si>
  <si>
    <t>Volda</t>
  </si>
  <si>
    <t>827-1481 Imperdiet Ave</t>
  </si>
  <si>
    <t>Wismar</t>
  </si>
  <si>
    <t>458-4726 Curabitur Rd.</t>
  </si>
  <si>
    <t>Denpasar</t>
  </si>
  <si>
    <t>P.O. Box 243, 6469 Nonummy Street</t>
  </si>
  <si>
    <t>Rockford</t>
  </si>
  <si>
    <t>264-4714 In, Road</t>
  </si>
  <si>
    <t>Laguna Blanca</t>
  </si>
  <si>
    <t>P.O. Box 979, 2580 Arcu. Avenue</t>
  </si>
  <si>
    <t>Abeokuta</t>
  </si>
  <si>
    <t>Ap #248-3351 Placerat, Street</t>
  </si>
  <si>
    <t>Tabuk</t>
  </si>
  <si>
    <t>Ap #207-6900 Non St.</t>
  </si>
  <si>
    <t>P.O. Box 305, 6095 Ornare Av.</t>
  </si>
  <si>
    <t>Namsos</t>
  </si>
  <si>
    <t>P.O. Box 252, 3151 Nisl. Road</t>
  </si>
  <si>
    <t>Lanester</t>
  </si>
  <si>
    <t>Ap #888-4624 Nunc St.</t>
  </si>
  <si>
    <t>Van</t>
  </si>
  <si>
    <t>Ap #868-589 Facilisis. Avenue</t>
  </si>
  <si>
    <t>Hamilton</t>
  </si>
  <si>
    <t>905-2891 Facilisis. Road</t>
  </si>
  <si>
    <t>Montauban</t>
  </si>
  <si>
    <t>Ap #163-847 Feugiat Street</t>
  </si>
  <si>
    <t>Guizhou</t>
  </si>
  <si>
    <t>8468 Sed Ave</t>
  </si>
  <si>
    <t>Mamuju</t>
  </si>
  <si>
    <t>P.O. Box 288, 3442 Vestibulum, Rd.</t>
  </si>
  <si>
    <t>Tumaco</t>
  </si>
  <si>
    <t>303-3788 Metus Avenue</t>
  </si>
  <si>
    <t>Mount Gambier</t>
  </si>
  <si>
    <t>484-9937 Dolor Rd.</t>
  </si>
  <si>
    <t>Geelong</t>
  </si>
  <si>
    <t>675-7444 Sodales Street</t>
  </si>
  <si>
    <t>Fortune</t>
  </si>
  <si>
    <t>Ap #935-5272 Est, Rd.</t>
  </si>
  <si>
    <t>Anklam</t>
  </si>
  <si>
    <t>762-1781 Phasellus Road</t>
  </si>
  <si>
    <t>San Pedro</t>
  </si>
  <si>
    <t>P.O. Box 372, 7944 Dolor St.</t>
  </si>
  <si>
    <t>RÃ­o Bueno</t>
  </si>
  <si>
    <t>653-8312 Sed Ave</t>
  </si>
  <si>
    <t>River Valley</t>
  </si>
  <si>
    <t>150-8415 Aenean Avenue</t>
  </si>
  <si>
    <t>Jafarabad</t>
  </si>
  <si>
    <t>Ap #469-2768 Cubilia Avenue</t>
  </si>
  <si>
    <t>Caloundra</t>
  </si>
  <si>
    <t>523 Vitae, Street</t>
  </si>
  <si>
    <t>Delhi</t>
  </si>
  <si>
    <t>3486 Accumsan Rd.</t>
  </si>
  <si>
    <t>Ãkersberga</t>
  </si>
  <si>
    <t>P.O. Box 757, 8487 Sem, Rd.</t>
  </si>
  <si>
    <t>Gunsan</t>
  </si>
  <si>
    <t>P.O. Box 854, 6994 Tempor Ave</t>
  </si>
  <si>
    <t>Heilongjiang</t>
  </si>
  <si>
    <t>P.O. Box 653, 9969 Facilisis Road</t>
  </si>
  <si>
    <t>Gols</t>
  </si>
  <si>
    <t>Ap #593-6438 Lectus. Avenue</t>
  </si>
  <si>
    <t>Pontianak</t>
  </si>
  <si>
    <t>4283 Interdum Avenue</t>
  </si>
  <si>
    <t>RÃ­o IbÃez</t>
  </si>
  <si>
    <t>Ap #439-9950 Dolor Avenue</t>
  </si>
  <si>
    <t>Piedras Negras</t>
  </si>
  <si>
    <t>460-4067 Pharetra. St.</t>
  </si>
  <si>
    <t>Porsgrunn</t>
  </si>
  <si>
    <t>Ap #551-3991 Suscipit St.</t>
  </si>
  <si>
    <t>Ladysmith</t>
  </si>
  <si>
    <t>Ap #411-8457 Ut, Avenue</t>
  </si>
  <si>
    <t>General Santos</t>
  </si>
  <si>
    <t>Ap #585-9457 Ac Street</t>
  </si>
  <si>
    <t>Ebenthal in KÃrnten</t>
  </si>
  <si>
    <t>964-3779 Porttitor Rd.</t>
  </si>
  <si>
    <t>Tyumen</t>
  </si>
  <si>
    <t>Ap #968-8059 Dui. Ave</t>
  </si>
  <si>
    <t>San Luis PotosÃ­</t>
  </si>
  <si>
    <t>Ap #553-1641 Consequat, Road</t>
  </si>
  <si>
    <t>Purranque</t>
  </si>
  <si>
    <t>790-1144 Sed Av.</t>
  </si>
  <si>
    <t>Siquirres</t>
  </si>
  <si>
    <t>Ap #105-8738 Pellentesque Avenue</t>
  </si>
  <si>
    <t>Barranca</t>
  </si>
  <si>
    <t>6157 Vel, Ave</t>
  </si>
  <si>
    <t>Wodonga</t>
  </si>
  <si>
    <t>243-2729 Eget Street</t>
  </si>
  <si>
    <t>Ikot Ekpene</t>
  </si>
  <si>
    <t>8225 Sem Rd.</t>
  </si>
  <si>
    <t>Mexico City</t>
  </si>
  <si>
    <t>Ap #459-2385 Morbi Avenue</t>
  </si>
  <si>
    <t>CÃceres</t>
  </si>
  <si>
    <t>1511 Phasellus Street</t>
  </si>
  <si>
    <t>Coevorden</t>
  </si>
  <si>
    <t>Ap #301-9196 Aliquam St.</t>
  </si>
  <si>
    <t>Warburg</t>
  </si>
  <si>
    <t>958-7215 Justo Road</t>
  </si>
  <si>
    <t>San Pablo</t>
  </si>
  <si>
    <t>585-9084 Urna. St.</t>
  </si>
  <si>
    <t>TehuacÃn</t>
  </si>
  <si>
    <t>Ap #988-2798 Phasellus Street</t>
  </si>
  <si>
    <t>Okpoko</t>
  </si>
  <si>
    <t>9008 Dui Rd.</t>
  </si>
  <si>
    <t>Pukekohe</t>
  </si>
  <si>
    <t>756-6597 In, Av.</t>
  </si>
  <si>
    <t>Waren</t>
  </si>
  <si>
    <t>5200 Amet Ave</t>
  </si>
  <si>
    <t>802-6219 Nunc Street</t>
  </si>
  <si>
    <t>Yellowknife</t>
  </si>
  <si>
    <t>Ap #112-7571 Sodales Avenue</t>
  </si>
  <si>
    <t>Ap #941-5173 Sed Road</t>
  </si>
  <si>
    <t>Burgos</t>
  </si>
  <si>
    <t>Ap #619-6208 Eu St.</t>
  </si>
  <si>
    <t>Khmelnytskyi</t>
  </si>
  <si>
    <t>774-3632 Metus Av.</t>
  </si>
  <si>
    <t>Hudiksvall</t>
  </si>
  <si>
    <t>P.O. Box 303, 7338 Leo, Ave</t>
  </si>
  <si>
    <t>Cagayan de Oro</t>
  </si>
  <si>
    <t>799-1772 Eu Rd.</t>
  </si>
  <si>
    <t>Goes</t>
  </si>
  <si>
    <t>387-9819 A Rd.</t>
  </si>
  <si>
    <t>Mojokerto</t>
  </si>
  <si>
    <t>Ap #396-1807 Lectus. St.</t>
  </si>
  <si>
    <t>Sandy</t>
  </si>
  <si>
    <t>P.O. Box 919, 7525 Pharetra. Av.</t>
  </si>
  <si>
    <t>Rennes</t>
  </si>
  <si>
    <t>9694 Ullamcorper, Avenue</t>
  </si>
  <si>
    <t>Ap #924-6737 Sollicitudin St.</t>
  </si>
  <si>
    <t>7180 Molestie Av.</t>
  </si>
  <si>
    <t>Bhimber</t>
  </si>
  <si>
    <t>496-9948 Ornare Road</t>
  </si>
  <si>
    <t>Cagnes-sur-Mer</t>
  </si>
  <si>
    <t>356-7483 Cursus St.</t>
  </si>
  <si>
    <t>Villarrica</t>
  </si>
  <si>
    <t>464 Eu St.</t>
  </si>
  <si>
    <t>La Seyne-sur-Mer</t>
  </si>
  <si>
    <t>Ap #384-6023 Rutrum, Rd.</t>
  </si>
  <si>
    <t>Colchane</t>
  </si>
  <si>
    <t>2205 Ligula. Rd.</t>
  </si>
  <si>
    <t>Berlin</t>
  </si>
  <si>
    <t>285-8705 Pede Rd.</t>
  </si>
  <si>
    <t>683-8217 Adipiscing Avenue</t>
  </si>
  <si>
    <t>Santander</t>
  </si>
  <si>
    <t>Ap #709-9028 Arcu. Rd.</t>
  </si>
  <si>
    <t>Cali</t>
  </si>
  <si>
    <t>P.O. Box 466, 5299 Sed Avenue</t>
  </si>
  <si>
    <t>Bima</t>
  </si>
  <si>
    <t>6837 Vitae Street</t>
  </si>
  <si>
    <t>Mandai</t>
  </si>
  <si>
    <t>470-5231 At, Av.</t>
  </si>
  <si>
    <t>Saint-LÃ´</t>
  </si>
  <si>
    <t>458 Nullam Rd.</t>
  </si>
  <si>
    <t>Baddeck</t>
  </si>
  <si>
    <t>Ap #934-2005 In, Rd.</t>
  </si>
  <si>
    <t>Dollard-des-Ormeaux</t>
  </si>
  <si>
    <t>Ap #899-5428 Ornare, Street</t>
  </si>
  <si>
    <t>Alva</t>
  </si>
  <si>
    <t>242-1880 Vitae Avenue</t>
  </si>
  <si>
    <t>Bolsward</t>
  </si>
  <si>
    <t>Ap #722-365 Mi Avenue</t>
  </si>
  <si>
    <t>Flekkefjord</t>
  </si>
  <si>
    <t>244-918 Velit. Rd.</t>
  </si>
  <si>
    <t>753-6132 Vestibulum Avenue</t>
  </si>
  <si>
    <t>Bajaur Agency</t>
  </si>
  <si>
    <t>Ap #205-3944 Aliquam Rd.</t>
  </si>
  <si>
    <t>Izium</t>
  </si>
  <si>
    <t>424-965 Mollis. Road</t>
  </si>
  <si>
    <t>Hamburg</t>
  </si>
  <si>
    <t>P.O. Box 378, 2883 Est St.</t>
  </si>
  <si>
    <t>Evere</t>
  </si>
  <si>
    <t>Ap #983-1506 Vulputate Av.</t>
  </si>
  <si>
    <t>Dole</t>
  </si>
  <si>
    <t>525-2811 Malesuada Rd.</t>
  </si>
  <si>
    <t>Columbus</t>
  </si>
  <si>
    <t>Ap #684-6828 At Ave</t>
  </si>
  <si>
    <t>SuruÃ§</t>
  </si>
  <si>
    <t>175 Ac Rd.</t>
  </si>
  <si>
    <t>Tuticorin</t>
  </si>
  <si>
    <t>Ap #944-7127 Lorem St.</t>
  </si>
  <si>
    <t>Mo i Rana</t>
  </si>
  <si>
    <t>399-6218 Posuere Rd.</t>
  </si>
  <si>
    <t>MÃrida</t>
  </si>
  <si>
    <t>Ap #553-1867 Parturient Rd.</t>
  </si>
  <si>
    <t>Gebze</t>
  </si>
  <si>
    <t>P.O. Box 939, 5130 Nec Rd.</t>
  </si>
  <si>
    <t>Kinrooi</t>
  </si>
  <si>
    <t>436-9160 Mauris St.</t>
  </si>
  <si>
    <t>Kharmang</t>
  </si>
  <si>
    <t>Ap #132-849 Sem Ave</t>
  </si>
  <si>
    <t>Tilburg</t>
  </si>
  <si>
    <t>P.O. Box 410, 2170 Quisque Street</t>
  </si>
  <si>
    <t>Kyiv</t>
  </si>
  <si>
    <t>Ap #265-7531 Nibh Ave</t>
  </si>
  <si>
    <t>Kongsvinger</t>
  </si>
  <si>
    <t>P.O. Box 476, 5345 Cras Rd.</t>
  </si>
  <si>
    <t>Thá Dáu Má</t>
  </si>
  <si>
    <t>P.O. Box 269, 4592 Ipsum St.</t>
  </si>
  <si>
    <t>Racine</t>
  </si>
  <si>
    <t>734-5871 Vestibulum, Rd.</t>
  </si>
  <si>
    <t>Tarma</t>
  </si>
  <si>
    <t>176-3102 Morbi Rd.</t>
  </si>
  <si>
    <t>Hebei</t>
  </si>
  <si>
    <t>4536 Sed Road</t>
  </si>
  <si>
    <t>Ghanche</t>
  </si>
  <si>
    <t>561-8117 Non, St.</t>
  </si>
  <si>
    <t>Inner Mongolia</t>
  </si>
  <si>
    <t>907-3703 Facilisis St.</t>
  </si>
  <si>
    <t>Valledupar</t>
  </si>
  <si>
    <t>5063 Pellentesque Rd.</t>
  </si>
  <si>
    <t>Ap #713-9382 Non Av.</t>
  </si>
  <si>
    <t>Pelarco</t>
  </si>
  <si>
    <t>Ap #698-8956 Ac Ave</t>
  </si>
  <si>
    <t>PoznaÅ„</t>
  </si>
  <si>
    <t>421-9280 Aliquam Av.</t>
  </si>
  <si>
    <t>Bacoor</t>
  </si>
  <si>
    <t>Ap #675-7365 Dui Rd.</t>
  </si>
  <si>
    <t>Timaru</t>
  </si>
  <si>
    <t>P.O. Box 270, 7796 Dolor Ave</t>
  </si>
  <si>
    <t>Castelnovo del Friuli</t>
  </si>
  <si>
    <t>P.O. Box 369, 6028 Sagittis. Street</t>
  </si>
  <si>
    <t>Neunkirchen</t>
  </si>
  <si>
    <t>565-1213 At Street</t>
  </si>
  <si>
    <t>Puerto Varas</t>
  </si>
  <si>
    <t>4758 Semper Av.</t>
  </si>
  <si>
    <t>Rangiora</t>
  </si>
  <si>
    <t>Ap #917-2299 Donec Avenue</t>
  </si>
  <si>
    <t>Heerhugowaard</t>
  </si>
  <si>
    <t>Ap #733-3813 Proin St.</t>
  </si>
  <si>
    <t>Ap #391-3742 In, St.</t>
  </si>
  <si>
    <t>352-8715 Gravida Road</t>
  </si>
  <si>
    <t>Pica</t>
  </si>
  <si>
    <t>494-8905 Morbi Av.</t>
  </si>
  <si>
    <t>Almere</t>
  </si>
  <si>
    <t>Ap #726-5686 Sed Road</t>
  </si>
  <si>
    <t>Stafford</t>
  </si>
  <si>
    <t>587 Enim, Avenue</t>
  </si>
  <si>
    <t>Marina South</t>
  </si>
  <si>
    <t>758 Mus. St.</t>
  </si>
  <si>
    <t>Zapopan</t>
  </si>
  <si>
    <t>P.O. Box 961, 4361 Lorem St.</t>
  </si>
  <si>
    <t>Foligno</t>
  </si>
  <si>
    <t>Ap #859-7554 Ante St.</t>
  </si>
  <si>
    <t>Cedar Rapids</t>
  </si>
  <si>
    <t>4371 Donec Street</t>
  </si>
  <si>
    <t>Kinross</t>
  </si>
  <si>
    <t>Ap #964-8365 Velit. Road</t>
  </si>
  <si>
    <t>Montague</t>
  </si>
  <si>
    <t>424-1883 Facilisis, Av.</t>
  </si>
  <si>
    <t>Kettering</t>
  </si>
  <si>
    <t>167-2256 Euismod Rd.</t>
  </si>
  <si>
    <t>Mokpo</t>
  </si>
  <si>
    <t>P.O. Box 535, 9192 Dictum. St.</t>
  </si>
  <si>
    <t>Kaduna</t>
  </si>
  <si>
    <t>P.O. Box 651, 9248 Tortor. Av.</t>
  </si>
  <si>
    <t>La UniÃ³n</t>
  </si>
  <si>
    <t>Ap #453-3485 Imperdiet Rd.</t>
  </si>
  <si>
    <t>Steinkjer</t>
  </si>
  <si>
    <t>P.O. Box 896, 5796 Nec, St.</t>
  </si>
  <si>
    <t>P.O. Box 535, 1822 Suspendisse Street</t>
  </si>
  <si>
    <t>Narimanov</t>
  </si>
  <si>
    <t>763-6237 Id, Rd.</t>
  </si>
  <si>
    <t>Sujawal</t>
  </si>
  <si>
    <t>712-1802 Proin Avenue</t>
  </si>
  <si>
    <t>McCallum</t>
  </si>
  <si>
    <t>Domande</t>
  </si>
  <si>
    <t>Risposta</t>
  </si>
  <si>
    <t>Processo in breve (max 20 parole)</t>
  </si>
  <si>
    <t>1. Quanti ID - Utenteci sono (colonna A)?</t>
  </si>
  <si>
    <t>2. Quanti ID - Utente unici ci sono (colonna A)?</t>
  </si>
  <si>
    <t>3. Quanti ID - Utente non hanno mai soggiornato a Dublino (Dublin)?</t>
  </si>
  <si>
    <t>4. Qual è il numero di membri per gruppo familiare più frequente?</t>
  </si>
  <si>
    <t>5. All'interno dei Paesi vi è un campo scritto in modo errato. Indica in quale riga è presente.</t>
  </si>
  <si>
    <t>6. Quanti ID - Utente hanno sostenuto una spesa maggiore di 300€?</t>
  </si>
  <si>
    <t>7. Quale ID - Utente a sostenuto la spesa minore?</t>
  </si>
  <si>
    <t>8. Quanti ID - Utente hanno il numero più elevato di membri in famiglia? Quanti sono i membri di questi gruppi familiari? </t>
  </si>
  <si>
    <t>9. Quanti ID - Utente hanno più di 30 anni? (Calcolare la data al giorno in cui si effettua il test, non solo anno in corso)</t>
  </si>
  <si>
    <t>10. Quanti ID - Utente hanno dato una valutazione all'appartamento più alta o uguale a 6?</t>
  </si>
  <si>
    <t>11. Qualche ID - Utente ha affittato sia un monopattino, che un'auto?</t>
  </si>
  <si>
    <t>12. Qual è il mezzo più affittato dagli utenti?</t>
  </si>
  <si>
    <t>13. Nelle città valutate a livello ambientale con valore uguale o maggiore di 6, sono maggiormente affittate le auto o i mezzi a basso impatto ambientale? Se i secondi quale di più?</t>
  </si>
  <si>
    <t>14. Indica la spesa media totale per singolo membro della famiglia</t>
  </si>
  <si>
    <t>15. Quali città hanno ottenuto un alto punteggio ambientale e un alto valore sull'appartamento in cui hanno alloggiato gli utenti?</t>
  </si>
  <si>
    <r>
      <t xml:space="preserve">Utilizzando la funzione </t>
    </r>
    <r>
      <rPr>
        <b/>
        <sz val="10"/>
        <color theme="1"/>
        <rFont val="Aptos Narrow"/>
        <scheme val="minor"/>
      </rPr>
      <t xml:space="preserve">=COUNT(Tab_valori[ID - Utente]) </t>
    </r>
    <r>
      <rPr>
        <sz val="10"/>
        <color theme="1"/>
        <rFont val="Aptos Narrow"/>
        <scheme val="minor"/>
      </rPr>
      <t>riesco a ricavare il numero di ID presenti all interno del loro apposito intervallo (A:A). Posso utilizzare velocemente la selezione con</t>
    </r>
    <r>
      <rPr>
        <b/>
        <sz val="10"/>
        <color theme="1"/>
        <rFont val="Aptos Narrow"/>
        <scheme val="minor"/>
      </rPr>
      <t xml:space="preserve"> Command+Shift </t>
    </r>
    <r>
      <rPr>
        <sz val="10"/>
        <color theme="1"/>
        <rFont val="Aptos Narrow"/>
        <scheme val="minor"/>
      </rPr>
      <t xml:space="preserve">e vedere in basso a destra il conteggio delle celle presenti all'interno del mio intervallo. </t>
    </r>
  </si>
  <si>
    <t>Grand Total</t>
  </si>
  <si>
    <t>Row Labels</t>
  </si>
  <si>
    <r>
      <t xml:space="preserve">Utilizzando count e unique annidati ovvero </t>
    </r>
    <r>
      <rPr>
        <b/>
        <sz val="10"/>
        <color theme="1"/>
        <rFont val="Aptos Narrow"/>
        <scheme val="minor"/>
      </rPr>
      <t>=COUNT(UNIQUE(Tab_valori[ID - Utente]))</t>
    </r>
    <r>
      <rPr>
        <sz val="10"/>
        <color theme="1"/>
        <rFont val="Aptos Narrow"/>
        <scheme val="minor"/>
      </rPr>
      <t xml:space="preserve"> posso ricavare all'interno dell'intervallo dgli ID utenti tutti gli ID univoci presenti all'interno del mio foglio di lavoro. Oppure copiando e incollando i valori su un altra parte del foglio posso poi andare sulla</t>
    </r>
    <r>
      <rPr>
        <b/>
        <sz val="10"/>
        <color theme="1"/>
        <rFont val="Aptos Narrow"/>
        <scheme val="minor"/>
      </rPr>
      <t xml:space="preserve"> barra multifunzione; data; remove duplicates</t>
    </r>
    <r>
      <rPr>
        <sz val="10"/>
        <color theme="1"/>
        <rFont val="Aptos Narrow"/>
        <scheme val="minor"/>
      </rPr>
      <t xml:space="preserve">. Anche </t>
    </r>
    <r>
      <rPr>
        <b/>
        <sz val="10"/>
        <color theme="1"/>
        <rFont val="Aptos Narrow"/>
        <scheme val="minor"/>
      </rPr>
      <t>Power Query</t>
    </r>
    <r>
      <rPr>
        <sz val="10"/>
        <color theme="1"/>
        <rFont val="Aptos Narrow"/>
        <scheme val="minor"/>
      </rPr>
      <t xml:space="preserve"> offre tale possibilità.</t>
    </r>
  </si>
  <si>
    <r>
      <t xml:space="preserve">Si hanno diverse possibilità: 1) utilizzo della funzione </t>
    </r>
    <r>
      <rPr>
        <b/>
        <sz val="10"/>
        <color theme="1"/>
        <rFont val="Aptos Narrow"/>
        <scheme val="minor"/>
      </rPr>
      <t>=COUNTIF(Tab_valori[Città Airbnb];"&lt;&gt;Dublin")</t>
    </r>
    <r>
      <rPr>
        <sz val="10"/>
        <color theme="1"/>
        <rFont val="Aptos Narrow"/>
        <scheme val="minor"/>
      </rPr>
      <t xml:space="preserve">. 2) Utilizzo di un </t>
    </r>
    <r>
      <rPr>
        <b/>
        <sz val="10"/>
        <color theme="1"/>
        <rFont val="Aptos Narrow"/>
        <scheme val="minor"/>
      </rPr>
      <t>filtro avanzato</t>
    </r>
    <r>
      <rPr>
        <sz val="10"/>
        <color theme="1"/>
        <rFont val="Aptos Narrow"/>
        <scheme val="minor"/>
      </rPr>
      <t xml:space="preserve"> selezionando il range della tabella e creando un criterio che sia &lt;&gt;Dublin. A questo punto per non tener conto delle righe filtrate posso utilizzare due metodi cioè la funzione </t>
    </r>
    <r>
      <rPr>
        <b/>
        <sz val="10"/>
        <color theme="1"/>
        <rFont val="Aptos Narrow"/>
        <scheme val="minor"/>
      </rPr>
      <t>=AGGREGATE(3;5;Tab_valori[ID - Utente])</t>
    </r>
    <r>
      <rPr>
        <sz val="10"/>
        <color theme="1"/>
        <rFont val="Aptos Narrow"/>
        <scheme val="minor"/>
      </rPr>
      <t xml:space="preserve"> oppure </t>
    </r>
    <r>
      <rPr>
        <b/>
        <sz val="10"/>
        <color theme="1"/>
        <rFont val="Aptos Narrow"/>
        <scheme val="minor"/>
      </rPr>
      <t>=SUBTOTAL(103;Tab_valori[ID - Utente])</t>
    </r>
  </si>
  <si>
    <t xml:space="preserve">Spesa totale per ogni utente </t>
  </si>
  <si>
    <t xml:space="preserve">Sum of Spesa totale per ogni utente </t>
  </si>
  <si>
    <t>Domanda 6: spesa totale degli utenti e filtro per spesa maggiore di 300</t>
  </si>
  <si>
    <r>
      <rPr>
        <b/>
        <sz val="10"/>
        <color theme="1"/>
        <rFont val="Aptos Narrow (Body)"/>
      </rPr>
      <t>Impoosto una tabella Pivot</t>
    </r>
    <r>
      <rPr>
        <sz val="10"/>
        <color theme="1"/>
        <rFont val="Aptos Narrow"/>
        <scheme val="minor"/>
      </rPr>
      <t xml:space="preserve"> dove sulle </t>
    </r>
    <r>
      <rPr>
        <b/>
        <sz val="10"/>
        <color theme="1"/>
        <rFont val="Aptos Narrow"/>
        <scheme val="minor"/>
      </rPr>
      <t>rows</t>
    </r>
    <r>
      <rPr>
        <sz val="10"/>
        <color theme="1"/>
        <rFont val="Aptos Narrow"/>
        <scheme val="minor"/>
      </rPr>
      <t xml:space="preserve"> inserisco gli </t>
    </r>
    <r>
      <rPr>
        <b/>
        <sz val="10"/>
        <color theme="1"/>
        <rFont val="Aptos Narrow"/>
        <scheme val="minor"/>
      </rPr>
      <t>ID</t>
    </r>
    <r>
      <rPr>
        <sz val="10"/>
        <color theme="1"/>
        <rFont val="Aptos Narrow"/>
        <scheme val="minor"/>
      </rPr>
      <t xml:space="preserve"> e nel campo</t>
    </r>
    <r>
      <rPr>
        <b/>
        <sz val="10"/>
        <color theme="1"/>
        <rFont val="Aptos Narrow"/>
        <scheme val="minor"/>
      </rPr>
      <t xml:space="preserve"> valori</t>
    </r>
    <r>
      <rPr>
        <sz val="10"/>
        <color theme="1"/>
        <rFont val="Aptos Narrow"/>
        <scheme val="minor"/>
      </rPr>
      <t xml:space="preserve"> la </t>
    </r>
    <r>
      <rPr>
        <b/>
        <sz val="10"/>
        <color theme="1"/>
        <rFont val="Aptos Narrow"/>
        <scheme val="minor"/>
      </rPr>
      <t>spesa totale</t>
    </r>
    <r>
      <rPr>
        <sz val="10"/>
        <color theme="1"/>
        <rFont val="Aptos Narrow"/>
        <scheme val="minor"/>
      </rPr>
      <t xml:space="preserve">. a questo punto posso efettuare un </t>
    </r>
    <r>
      <rPr>
        <b/>
        <sz val="10"/>
        <color theme="1"/>
        <rFont val="Aptos Narrow"/>
        <scheme val="minor"/>
      </rPr>
      <t xml:space="preserve">sort </t>
    </r>
    <r>
      <rPr>
        <sz val="10"/>
        <color theme="1"/>
        <rFont val="Aptos Narrow"/>
        <scheme val="minor"/>
      </rPr>
      <t>andando su</t>
    </r>
    <r>
      <rPr>
        <b/>
        <sz val="10"/>
        <color theme="1"/>
        <rFont val="Aptos Narrow"/>
        <scheme val="minor"/>
      </rPr>
      <t xml:space="preserve"> row labels e sort by "spesa totale degli utenti" </t>
    </r>
    <r>
      <rPr>
        <sz val="10"/>
        <color theme="1"/>
        <rFont val="Aptos Narrow"/>
        <scheme val="minor"/>
      </rPr>
      <t xml:space="preserve">by labels, </t>
    </r>
    <r>
      <rPr>
        <b/>
        <sz val="10"/>
        <color theme="1"/>
        <rFont val="Aptos Narrow (Body)"/>
      </rPr>
      <t>greater than 300</t>
    </r>
    <r>
      <rPr>
        <sz val="10"/>
        <color theme="1"/>
        <rFont val="Aptos Narrow"/>
        <scheme val="minor"/>
      </rPr>
      <t xml:space="preserve"> e tramite la funzione </t>
    </r>
    <r>
      <rPr>
        <b/>
        <sz val="10"/>
        <color theme="1"/>
        <rFont val="Aptos Narrow (Body)"/>
      </rPr>
      <t>=SUBTOTAL(3;A6:A221) o =AGGREGATE(3;5;A6:A221)</t>
    </r>
    <r>
      <rPr>
        <sz val="10"/>
        <color theme="1"/>
        <rFont val="Aptos Narrow"/>
        <scheme val="minor"/>
      </rPr>
      <t xml:space="preserve"> riesco a trovare il numero degli id. In questo caso anche la funzione </t>
    </r>
    <r>
      <rPr>
        <b/>
        <sz val="10"/>
        <color theme="1"/>
        <rFont val="Aptos Narrow"/>
        <scheme val="minor"/>
      </rPr>
      <t>=COUNT(A6:A221)</t>
    </r>
    <r>
      <rPr>
        <sz val="10"/>
        <color theme="1"/>
        <rFont val="Aptos Narrow"/>
        <scheme val="minor"/>
      </rPr>
      <t xml:space="preserve"> applicata alla pivot permette di trovare il numero esatto degli utenti.</t>
    </r>
  </si>
  <si>
    <t>ID CON SPESA &gt;300</t>
  </si>
  <si>
    <r>
      <t xml:space="preserve">Con il ragionamento precedente posso ipostare una tabella pivot con id e spese totali ed effettuare un ordinamento ascendente in maniera tale da trovare visivamente il primo ID con la spesa minore. Se non potessi attengire alla mia pivot potrei usare la funzione annidata </t>
    </r>
    <r>
      <rPr>
        <b/>
        <sz val="10"/>
        <color theme="1"/>
        <rFont val="Aptos Narrow (Body)"/>
      </rPr>
      <t xml:space="preserve">=INDEX(Tab_valori[ID - Utente];MATCH(MIN(Tab_valori[[Spesa totale per ogni utente ]]);Tab_valori[[Spesa totale per ogni utente ]];0)) </t>
    </r>
    <r>
      <rPr>
        <sz val="10"/>
        <color theme="1"/>
        <rFont val="Aptos Narrow (Body)"/>
      </rPr>
      <t>per trovare subito l'ID.</t>
    </r>
  </si>
  <si>
    <r>
      <t xml:space="preserve">Se si utilizza la funzione annidata </t>
    </r>
    <r>
      <rPr>
        <b/>
        <sz val="10"/>
        <color theme="1"/>
        <rFont val="Aptos Narrow (Body)"/>
      </rPr>
      <t>=COUNTIF(Tab_valori[Membri della Famiglia];MAX(Tab_valori[Membri della Famiglia]))</t>
    </r>
    <r>
      <rPr>
        <sz val="10"/>
        <color theme="1"/>
        <rFont val="Aptos Narrow"/>
        <scheme val="minor"/>
      </rPr>
      <t xml:space="preserve"> si può calcolare il numero di ID con le famiglie più numerose. In questo caso se si vuole conoscere il numero  di membri per gruppo familiare si può utilizzare </t>
    </r>
    <r>
      <rPr>
        <b/>
        <sz val="10"/>
        <color theme="1"/>
        <rFont val="Aptos Narrow"/>
        <scheme val="minor"/>
      </rPr>
      <t>MAX(Tab_valori[Membri della Famiglia])</t>
    </r>
    <r>
      <rPr>
        <sz val="10"/>
        <color theme="1"/>
        <rFont val="Aptos Narrow"/>
        <scheme val="minor"/>
      </rPr>
      <t xml:space="preserve"> o </t>
    </r>
    <r>
      <rPr>
        <b/>
        <sz val="10"/>
        <color theme="1"/>
        <rFont val="Aptos Narrow"/>
        <scheme val="minor"/>
      </rPr>
      <t>ordinare</t>
    </r>
    <r>
      <rPr>
        <sz val="10"/>
        <color theme="1"/>
        <rFont val="Aptos Narrow"/>
        <scheme val="minor"/>
      </rPr>
      <t xml:space="preserve"> la colone dei membri familiari dal più grande al più piccolo per trovare il valore di interesse.</t>
    </r>
  </si>
  <si>
    <r>
      <t xml:space="preserve">SI può utilizzare la formula nidificata </t>
    </r>
    <r>
      <rPr>
        <b/>
        <sz val="10"/>
        <color theme="1"/>
        <rFont val="Aptos Narrow"/>
        <scheme val="minor"/>
      </rPr>
      <t xml:space="preserve">=COUNTIF(Tab_valori[Data di Nascita]; "&lt;=" &amp;EDATE(TODAY(); -30*12)). </t>
    </r>
    <r>
      <rPr>
        <sz val="10"/>
        <color theme="1"/>
        <rFont val="Aptos Narrow"/>
        <scheme val="minor"/>
      </rPr>
      <t>Questo perchè se si va ad analizzare la formula da EDATE si vede come inserendo la data di oggi e effettuando una sottrazione di 360 mesi ovvero 30 anni si ottenga 7/7/1995; in questo modo impostando il criterio &lt;= sto dicendo alla funzione di contare quanti utenti hanno già compiuto 30 anni ma anche quelle persone che sono vicine alla data inidcata ma inferiori al giorno 7.</t>
    </r>
  </si>
  <si>
    <r>
      <t xml:space="preserve">Utilizzando la formula </t>
    </r>
    <r>
      <rPr>
        <b/>
        <sz val="10"/>
        <color theme="1"/>
        <rFont val="Aptos Narrow"/>
        <scheme val="minor"/>
      </rPr>
      <t xml:space="preserve">=COUNTIF(Tab_valori[Valutazione];"&gt;=6") </t>
    </r>
    <r>
      <rPr>
        <sz val="10"/>
        <color theme="1"/>
        <rFont val="Aptos Narrow"/>
        <scheme val="minor"/>
      </rPr>
      <t>posso constatare che nessuno degli utenti ha dato valutazione più alta o uguale a 6</t>
    </r>
  </si>
  <si>
    <t>2797; 4637; 3576; 3783…</t>
  </si>
  <si>
    <r>
      <t>con la funzione</t>
    </r>
    <r>
      <rPr>
        <b/>
        <sz val="10"/>
        <color theme="1"/>
        <rFont val="Aptos Narrow"/>
        <scheme val="minor"/>
      </rPr>
      <t xml:space="preserve"> =FILTER(Tab_valori[ID - Utente];(Tab_valori[Rent Mezzo - Auto]="sì")*(Tab_valori[Rent Mezzo - Biciletta]="sì"))</t>
    </r>
    <r>
      <rPr>
        <sz val="10"/>
        <color theme="1"/>
        <rFont val="Aptos Narrow"/>
        <scheme val="minor"/>
      </rPr>
      <t xml:space="preserve"> riesco a vedere tutti gli ID che soddisfano I ,iei due criteri. Il numero totale degli ID è 73</t>
    </r>
  </si>
  <si>
    <t>Auto e Bicicletta</t>
  </si>
  <si>
    <t>TOTALE RENT AUTO</t>
  </si>
  <si>
    <t>TOTALE RENT BICICLETTA</t>
  </si>
  <si>
    <t xml:space="preserve">TOTALE RENT MONOPATTINO </t>
  </si>
  <si>
    <r>
      <t xml:space="preserve">Inserisco in 3 colonne la funzione </t>
    </r>
    <r>
      <rPr>
        <b/>
        <sz val="10"/>
        <color theme="1"/>
        <rFont val="Aptos Narrow"/>
        <scheme val="minor"/>
      </rPr>
      <t>COUNTIF(Tab_valori[Rent Mezzo - Auto];"Sì")</t>
    </r>
    <r>
      <rPr>
        <sz val="10"/>
        <color theme="1"/>
        <rFont val="Aptos Narrow"/>
        <scheme val="minor"/>
      </rPr>
      <t xml:space="preserve"> E estendo la formula senza riferimenti assoluti per coprire anche Il totale dei noleggi bici e monopattino</t>
    </r>
  </si>
  <si>
    <t xml:space="preserve">domanda </t>
  </si>
  <si>
    <t>Count of ID - Utente</t>
  </si>
  <si>
    <t>(Multiple Items)</t>
  </si>
  <si>
    <t>Rent - Auto</t>
  </si>
  <si>
    <t>Rent Bicicletta</t>
  </si>
  <si>
    <t>Rent Monopattino</t>
  </si>
  <si>
    <t xml:space="preserve">totale rent mezzi sostenibili </t>
  </si>
  <si>
    <t xml:space="preserve">totale rent mazzo - auto </t>
  </si>
  <si>
    <t>Domanda 13: mezzo noleggiato maggiormente nelle città con valutazione ambientale &gt;=6</t>
  </si>
  <si>
    <r>
      <t xml:space="preserve">Ho creato 3 Pivot simili dove nei campi ho inserito nel </t>
    </r>
    <r>
      <rPr>
        <b/>
        <sz val="10"/>
        <color theme="1"/>
        <rFont val="Aptos Narrow"/>
        <scheme val="minor"/>
      </rPr>
      <t>filtro</t>
    </r>
    <r>
      <rPr>
        <sz val="10"/>
        <color theme="1"/>
        <rFont val="Aptos Narrow"/>
        <scheme val="minor"/>
      </rPr>
      <t xml:space="preserve"> la </t>
    </r>
    <r>
      <rPr>
        <b/>
        <sz val="10"/>
        <color theme="1"/>
        <rFont val="Aptos Narrow"/>
        <scheme val="minor"/>
      </rPr>
      <t>valutazione ambientale &gt;=6</t>
    </r>
    <r>
      <rPr>
        <sz val="10"/>
        <color theme="1"/>
        <rFont val="Aptos Narrow"/>
        <scheme val="minor"/>
      </rPr>
      <t>; nelle</t>
    </r>
    <r>
      <rPr>
        <b/>
        <sz val="10"/>
        <color theme="1"/>
        <rFont val="Aptos Narrow"/>
        <scheme val="minor"/>
      </rPr>
      <t xml:space="preserve"> righe</t>
    </r>
    <r>
      <rPr>
        <sz val="10"/>
        <color theme="1"/>
        <rFont val="Aptos Narrow"/>
        <scheme val="minor"/>
      </rPr>
      <t xml:space="preserve"> il </t>
    </r>
    <r>
      <rPr>
        <b/>
        <sz val="10"/>
        <color theme="1"/>
        <rFont val="Aptos Narrow"/>
        <scheme val="minor"/>
      </rPr>
      <t>noleggio del mezzo</t>
    </r>
    <r>
      <rPr>
        <sz val="10"/>
        <color theme="1"/>
        <rFont val="Aptos Narrow"/>
        <scheme val="minor"/>
      </rPr>
      <t xml:space="preserve"> in questione e nei </t>
    </r>
    <r>
      <rPr>
        <b/>
        <sz val="10"/>
        <color theme="1"/>
        <rFont val="Aptos Narrow"/>
        <scheme val="minor"/>
      </rPr>
      <t xml:space="preserve">valori </t>
    </r>
    <r>
      <rPr>
        <sz val="10"/>
        <color theme="1"/>
        <rFont val="Aptos Narrow"/>
        <scheme val="minor"/>
      </rPr>
      <t xml:space="preserve">il </t>
    </r>
    <r>
      <rPr>
        <b/>
        <sz val="10"/>
        <color theme="1"/>
        <rFont val="Aptos Narrow"/>
        <scheme val="minor"/>
      </rPr>
      <t>conteggio degli ID</t>
    </r>
    <r>
      <rPr>
        <sz val="10"/>
        <color theme="1"/>
        <rFont val="Aptos Narrow"/>
        <scheme val="minor"/>
      </rPr>
      <t xml:space="preserve">. Da qui si comprende come facendo la somma dei "sì" per I mezzi sostenibili ci siano stati </t>
    </r>
    <r>
      <rPr>
        <b/>
        <sz val="10"/>
        <color theme="1"/>
        <rFont val="Aptos Narrow"/>
        <scheme val="minor"/>
      </rPr>
      <t>117 rent</t>
    </r>
    <r>
      <rPr>
        <sz val="10"/>
        <color theme="1"/>
        <rFont val="Aptos Narrow"/>
        <scheme val="minor"/>
      </rPr>
      <t xml:space="preserve"> con prevalenza di</t>
    </r>
    <r>
      <rPr>
        <b/>
        <sz val="10"/>
        <color theme="1"/>
        <rFont val="Aptos Narrow"/>
        <scheme val="minor"/>
      </rPr>
      <t xml:space="preserve"> 60 rent per la bicicletta</t>
    </r>
  </si>
  <si>
    <t xml:space="preserve">spesa media per singolo membro </t>
  </si>
  <si>
    <r>
      <t xml:space="preserve">Creando una colonna che calcoli la media della spesa di ogni membro della famiglia per il soggiorno ho successivamente applicato la formula </t>
    </r>
    <r>
      <rPr>
        <b/>
        <sz val="10"/>
        <color theme="1"/>
        <rFont val="Aptos Narrow"/>
        <scheme val="minor"/>
      </rPr>
      <t>=AVERAGE([[spesa media per singolo membro ]])</t>
    </r>
    <r>
      <rPr>
        <sz val="10"/>
        <color theme="1"/>
        <rFont val="Aptos Narrow"/>
        <scheme val="minor"/>
      </rPr>
      <t xml:space="preserve"> per evidenziare quanto spendesse in media un membro della famiglia per il soggiorno </t>
    </r>
  </si>
  <si>
    <t>Denpasar, PÄarbaÅŸÄ, Tarma e Thabazimbi</t>
  </si>
  <si>
    <t xml:space="preserve">città con buona valutazione e attenzione ambientale </t>
  </si>
  <si>
    <t>Domanda 15: città con alto punteggio ambientale e valutazione</t>
  </si>
  <si>
    <r>
      <t xml:space="preserve">Tramite la funzione </t>
    </r>
    <r>
      <rPr>
        <b/>
        <sz val="10"/>
        <color theme="1"/>
        <rFont val="Aptos Narrow"/>
        <scheme val="minor"/>
      </rPr>
      <t xml:space="preserve">=MODE(Tab_valori[Membri della Famiglia]) </t>
    </r>
    <r>
      <rPr>
        <sz val="10"/>
        <color theme="1"/>
        <rFont val="Aptos Narrow"/>
        <scheme val="minor"/>
      </rPr>
      <t>posso vedere il numero di membri famigliari più frequente all'interno dei miei dati</t>
    </r>
  </si>
  <si>
    <r>
      <t>Posso s</t>
    </r>
    <r>
      <rPr>
        <b/>
        <sz val="10"/>
        <color theme="1"/>
        <rFont val="Aptos Narrow"/>
        <scheme val="minor"/>
      </rPr>
      <t>elezionare il range</t>
    </r>
    <r>
      <rPr>
        <sz val="10"/>
        <color theme="1"/>
        <rFont val="Aptos Narrow"/>
        <scheme val="minor"/>
      </rPr>
      <t xml:space="preserve"> di valori dei paesi, andare su</t>
    </r>
    <r>
      <rPr>
        <b/>
        <sz val="10"/>
        <color theme="1"/>
        <rFont val="Aptos Narrow"/>
        <scheme val="minor"/>
      </rPr>
      <t xml:space="preserve"> review e spelling</t>
    </r>
    <r>
      <rPr>
        <sz val="10"/>
        <color theme="1"/>
        <rFont val="Aptos Narrow"/>
        <scheme val="minor"/>
      </rPr>
      <t xml:space="preserve">. Posso anche utlilizzare la funzione </t>
    </r>
    <r>
      <rPr>
        <b/>
        <sz val="10"/>
        <color theme="1"/>
        <rFont val="Aptos Narrow"/>
        <scheme val="minor"/>
      </rPr>
      <t>Unique, past special, values, ordinare A-Z</t>
    </r>
    <r>
      <rPr>
        <sz val="10"/>
        <color theme="1"/>
        <rFont val="Aptos Narrow"/>
        <scheme val="minor"/>
      </rPr>
      <t xml:space="preserve"> e poi cercare I valori simili. Da qui procedere su find per scrivere il valore errato e trovare il numero di riga</t>
    </r>
  </si>
  <si>
    <t>Sono stati affittati maggiormenti I mezzi a basso impatto ambientale e fra questi il maggior mezzo d'utilizzo è estato la bicicletta</t>
  </si>
  <si>
    <r>
      <t xml:space="preserve">Ho considerato le città con </t>
    </r>
    <r>
      <rPr>
        <b/>
        <sz val="10"/>
        <color theme="1"/>
        <rFont val="Aptos Narrow (Body)"/>
      </rPr>
      <t>valutazione =5 e valutazione ambientale =10</t>
    </r>
    <r>
      <rPr>
        <sz val="10"/>
        <color theme="1"/>
        <rFont val="Aptos Narrow (Body)"/>
      </rPr>
      <t xml:space="preserve">. Dopo poso procedeere in due modi: il primo è con l'utilizzo della formula </t>
    </r>
    <r>
      <rPr>
        <b/>
        <sz val="10"/>
        <color theme="1"/>
        <rFont val="Aptos Narrow (Body)"/>
      </rPr>
      <t xml:space="preserve">=IF(AND(Tab_valori[@Valutazione]=5;Tab_valori[@[Valutazione sull''attenzione all''ambiente della città]]=10);Tab_valori[@[Città Airbnb]];"-") </t>
    </r>
    <r>
      <rPr>
        <sz val="10"/>
        <color theme="1"/>
        <rFont val="Aptos Narrow (Body)"/>
      </rPr>
      <t xml:space="preserve">per vedere quale cittaà rispecchiasse questi criteri... Altrimenti </t>
    </r>
    <r>
      <rPr>
        <b/>
        <sz val="10"/>
        <color theme="1"/>
        <rFont val="Aptos Narrow (Body)"/>
      </rPr>
      <t>con una pivot</t>
    </r>
    <r>
      <rPr>
        <sz val="10"/>
        <color theme="1"/>
        <rFont val="Aptos Narrow (Body)"/>
      </rPr>
      <t xml:space="preserve"> con 2 filtri inseriti per le valutazione e sulle righe i nomi delle città posso filtrare e trovare le città d'interesse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</si>
</sst>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0\ &quot;€&quot;;[Red]\-#,##0\ &quot;€&quot;"/>
  </numFmts>
  <fonts count="15" x14ac:knownFonts="1">
    <font>
      <sz val="12"/>
      <color theme="1"/>
      <name val="Aptos Narrow"/>
      <family val="2"/>
      <scheme val="minor"/>
    </font>
    <font>
      <sz val="11"/>
      <color theme="1"/>
      <name val="Aptos Narrow"/>
      <scheme val="minor"/>
    </font>
    <font>
      <sz val="11"/>
      <color rgb="FF202124"/>
      <name val="Aptos Narrow"/>
      <scheme val="minor"/>
    </font>
    <font>
      <sz val="10"/>
      <color theme="1"/>
      <name val="Aptos Narrow"/>
      <scheme val="minor"/>
    </font>
    <font>
      <b/>
      <sz val="11"/>
      <color rgb="FFFF0000"/>
      <name val="Aptos Narrow"/>
      <scheme val="minor"/>
    </font>
    <font>
      <b/>
      <sz val="12"/>
      <color rgb="FFFF2600"/>
      <name val="Aptos Narrow"/>
      <scheme val="minor"/>
    </font>
    <font>
      <b/>
      <sz val="14"/>
      <color rgb="FFF74451"/>
      <name val="Aptos Narrow"/>
      <scheme val="minor"/>
    </font>
    <font>
      <b/>
      <sz val="14"/>
      <color rgb="FFF74451"/>
      <name val="Aptos Narrow"/>
      <family val="2"/>
      <scheme val="minor"/>
    </font>
    <font>
      <b/>
      <sz val="10"/>
      <color theme="1"/>
      <name val="Aptos Narrow"/>
      <scheme val="minor"/>
    </font>
    <font>
      <b/>
      <sz val="12"/>
      <color rgb="FFFF0000"/>
      <name val="Aptos Narrow"/>
      <scheme val="minor"/>
    </font>
    <font>
      <sz val="10"/>
      <color theme="1"/>
      <name val="Aptos Narrow (Body)"/>
    </font>
    <font>
      <b/>
      <sz val="10"/>
      <color theme="1"/>
      <name val="Aptos Narrow (Body)"/>
    </font>
    <font>
      <b/>
      <sz val="12"/>
      <color theme="1"/>
      <name val="Aptos Narrow"/>
      <scheme val="minor"/>
    </font>
    <font>
      <b/>
      <sz val="12"/>
      <color rgb="FFFF0000"/>
      <name val="Aptos Narrow (Body)"/>
    </font>
    <font>
      <b/>
      <sz val="10"/>
      <color rgb="FFFF0000"/>
      <name val="Aptos Narrow"/>
      <scheme val="minor"/>
    </font>
  </fonts>
  <fills count="8">
    <fill>
      <patternFill patternType="none"/>
    </fill>
    <fill>
      <patternFill patternType="gray125"/>
    </fill>
    <fill>
      <patternFill patternType="solid">
        <fgColor theme="4" tint="0.59999389629810485"/>
        <bgColor indexed="64"/>
      </patternFill>
    </fill>
    <fill>
      <patternFill patternType="solid">
        <fgColor theme="3" tint="0.89999084444715716"/>
        <bgColor indexed="64"/>
      </patternFill>
    </fill>
    <fill>
      <patternFill patternType="solid">
        <fgColor theme="4" tint="0.79998168889431442"/>
        <bgColor indexed="64"/>
      </patternFill>
    </fill>
    <fill>
      <patternFill patternType="solid">
        <fgColor theme="3" tint="0.749992370372631"/>
        <bgColor indexed="64"/>
      </patternFill>
    </fill>
    <fill>
      <patternFill patternType="solid">
        <fgColor theme="7" tint="0.79998168889431442"/>
        <bgColor indexed="64"/>
      </patternFill>
    </fill>
    <fill>
      <patternFill patternType="solid">
        <fgColor rgb="FFFFE878"/>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double">
        <color indexed="64"/>
      </left>
      <right style="double">
        <color indexed="64"/>
      </right>
      <top style="double">
        <color indexed="64"/>
      </top>
      <bottom style="double">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34">
    <xf numFmtId="0" fontId="0" fillId="0" borderId="0" xfId="0"/>
    <xf numFmtId="6" fontId="0" fillId="0" borderId="0" xfId="0" applyNumberFormat="1"/>
    <xf numFmtId="0" fontId="1" fillId="0" borderId="0" xfId="0" applyFont="1"/>
    <xf numFmtId="6" fontId="1" fillId="0" borderId="0" xfId="0" applyNumberFormat="1" applyFont="1"/>
    <xf numFmtId="14" fontId="1" fillId="0" borderId="0" xfId="0" applyNumberFormat="1" applyFont="1"/>
    <xf numFmtId="0" fontId="2" fillId="0" borderId="0" xfId="0" applyFont="1"/>
    <xf numFmtId="0" fontId="4" fillId="5" borderId="1" xfId="0" applyFont="1" applyFill="1" applyBorder="1"/>
    <xf numFmtId="0" fontId="1" fillId="0" borderId="1" xfId="0" applyFont="1" applyBorder="1"/>
    <xf numFmtId="0" fontId="5" fillId="3" borderId="0" xfId="0" applyFont="1" applyFill="1"/>
    <xf numFmtId="0" fontId="6" fillId="2" borderId="1" xfId="0" applyFont="1" applyFill="1" applyBorder="1" applyAlignment="1">
      <alignment vertical="center"/>
    </xf>
    <xf numFmtId="0" fontId="3"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0" xfId="0" applyAlignment="1">
      <alignment horizontal="left"/>
    </xf>
    <xf numFmtId="0" fontId="6" fillId="2" borderId="3" xfId="0" applyFont="1" applyFill="1" applyBorder="1" applyAlignment="1">
      <alignment vertical="center"/>
    </xf>
    <xf numFmtId="0" fontId="6" fillId="2" borderId="4" xfId="0" applyFont="1" applyFill="1" applyBorder="1" applyAlignment="1">
      <alignment vertical="center"/>
    </xf>
    <xf numFmtId="0" fontId="7" fillId="4" borderId="2" xfId="0" applyFont="1" applyFill="1" applyBorder="1" applyAlignment="1">
      <alignment vertical="center" wrapText="1"/>
    </xf>
    <xf numFmtId="0" fontId="12" fillId="5" borderId="1" xfId="0" applyFont="1" applyFill="1" applyBorder="1"/>
    <xf numFmtId="0" fontId="0" fillId="5" borderId="1" xfId="0" applyFill="1" applyBorder="1"/>
    <xf numFmtId="0" fontId="0" fillId="0" borderId="1" xfId="0" applyBorder="1"/>
    <xf numFmtId="0" fontId="0" fillId="6" borderId="1" xfId="0" applyFill="1" applyBorder="1"/>
    <xf numFmtId="0" fontId="0" fillId="0" borderId="5" xfId="0" pivotButton="1" applyBorder="1"/>
    <xf numFmtId="0" fontId="0" fillId="0" borderId="5" xfId="0" applyBorder="1"/>
    <xf numFmtId="0" fontId="13" fillId="5" borderId="1" xfId="0" applyFont="1" applyFill="1" applyBorder="1"/>
    <xf numFmtId="0" fontId="0" fillId="0" borderId="0" xfId="0" pivotButton="1"/>
    <xf numFmtId="14" fontId="0" fillId="0" borderId="0" xfId="0" applyNumberFormat="1"/>
    <xf numFmtId="0" fontId="0" fillId="0" borderId="0" xfId="0" applyAlignment="1">
      <alignment wrapText="1"/>
    </xf>
    <xf numFmtId="0" fontId="12" fillId="7" borderId="0" xfId="0" applyFont="1" applyFill="1" applyAlignment="1">
      <alignment horizontal="center" vertical="center"/>
    </xf>
    <xf numFmtId="0" fontId="0" fillId="4" borderId="1" xfId="0" applyFill="1" applyBorder="1"/>
    <xf numFmtId="0" fontId="12" fillId="4" borderId="1" xfId="0" applyFont="1" applyFill="1" applyBorder="1" applyAlignment="1">
      <alignment horizontal="left"/>
    </xf>
    <xf numFmtId="0" fontId="9" fillId="5" borderId="0" xfId="0" applyFont="1" applyFill="1"/>
    <xf numFmtId="0" fontId="12" fillId="7" borderId="2" xfId="0" applyFont="1" applyFill="1" applyBorder="1" applyAlignment="1">
      <alignment horizontal="center" vertical="center"/>
    </xf>
    <xf numFmtId="0" fontId="10" fillId="0" borderId="1" xfId="0" applyFont="1" applyBorder="1" applyAlignment="1">
      <alignment vertical="center" wrapText="1"/>
    </xf>
    <xf numFmtId="0" fontId="14" fillId="7" borderId="1" xfId="0" applyFont="1" applyFill="1" applyBorder="1" applyAlignment="1">
      <alignment horizontal="center" vertical="center"/>
    </xf>
    <xf numFmtId="0" fontId="14" fillId="7" borderId="1" xfId="0" applyFont="1" applyFill="1" applyBorder="1" applyAlignment="1">
      <alignment horizontal="center" vertical="center" wrapText="1"/>
    </xf>
  </cellXfs>
  <cellStyles count="1">
    <cellStyle name="Normal" xfId="0" builtinId="0"/>
  </cellStyles>
  <dxfs count="36">
    <dxf>
      <border>
        <top style="thin">
          <color indexed="64"/>
        </top>
        <horizontal style="thin">
          <color indexed="64"/>
        </horizontal>
      </border>
    </dxf>
    <dxf>
      <border>
        <top style="thin">
          <color indexed="64"/>
        </top>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top style="thin">
          <color indexed="64"/>
        </top>
        <horizontal style="thin">
          <color indexed="64"/>
        </horizontal>
      </border>
    </dxf>
    <dxf>
      <border>
        <top style="thin">
          <color indexed="64"/>
        </top>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top style="thin">
          <color indexed="64"/>
        </top>
      </border>
    </dxf>
    <dxf>
      <border>
        <top style="thin">
          <color indexed="64"/>
        </top>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top style="thin">
          <color indexed="64"/>
        </top>
        <horizontal style="thin">
          <color indexed="64"/>
        </horizontal>
      </border>
    </dxf>
    <dxf>
      <border>
        <top style="thin">
          <color indexed="64"/>
        </top>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numFmt numFmtId="19" formatCode="dd/mm/yyyy"/>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numFmt numFmtId="10" formatCode="#,##0\ &quot;€&quot;;[Red]\-#,##0\ &quot;€&quot;"/>
    </dxf>
    <dxf>
      <font>
        <b val="0"/>
        <i val="0"/>
        <strike val="0"/>
        <condense val="0"/>
        <extend val="0"/>
        <outline val="0"/>
        <shadow val="0"/>
        <u val="none"/>
        <vertAlign val="baseline"/>
        <sz val="11"/>
        <color theme="1"/>
        <name val="Aptos Narrow"/>
        <scheme val="minor"/>
      </font>
      <numFmt numFmtId="10" formatCode="#,##0\ &quot;€&quot;;[Red]\-#,##0\ &quot;€&quo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numFmt numFmtId="10" formatCode="#,##0\ &quot;€&quot;;[Red]\-#,##0\ &quot;€&quo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border>
        <bottom style="thin">
          <color indexed="64"/>
        </bottom>
      </border>
    </dxf>
    <dxf>
      <font>
        <b/>
        <i val="0"/>
        <strike val="0"/>
        <condense val="0"/>
        <extend val="0"/>
        <outline val="0"/>
        <shadow val="0"/>
        <u val="none"/>
        <vertAlign val="baseline"/>
        <sz val="14"/>
        <color rgb="FFF74451"/>
        <name val="Aptos Narrow"/>
        <scheme val="minor"/>
      </font>
      <fill>
        <patternFill patternType="solid">
          <fgColor indexed="64"/>
          <bgColor theme="4" tint="0.59999389629810485"/>
        </patternFill>
      </fill>
      <alignment horizontal="general"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E878"/>
      <color rgb="FFFF2600"/>
      <color rgb="FFF74451"/>
      <color rgb="FFFC678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co Fernando Caputo" refreshedDate="45845.647899189818" createdVersion="8" refreshedVersion="8" minRefreshableVersion="3" recordCount="300" xr:uid="{9F790773-9AAE-D843-9B17-04AEC6C43748}">
  <cacheSource type="worksheet">
    <worksheetSource name="Tab_valori"/>
  </cacheSource>
  <cacheFields count="14">
    <cacheField name="ID - Utente" numFmtId="0">
      <sharedItems containsSemiMixedTypes="0" containsString="0" containsNumber="1" containsInteger="1" minValue="2304" maxValue="5584" count="289">
        <n v="3921"/>
        <n v="4606"/>
        <n v="3813"/>
        <n v="5482"/>
        <n v="4058"/>
        <n v="4115"/>
        <n v="2426"/>
        <n v="3123"/>
        <n v="4926"/>
        <n v="2797"/>
        <n v="5533"/>
        <n v="2383"/>
        <n v="5561"/>
        <n v="3570"/>
        <n v="4637"/>
        <n v="4435"/>
        <n v="3804"/>
        <n v="3576"/>
        <n v="5173"/>
        <n v="4929"/>
        <n v="2844"/>
        <n v="3783"/>
        <n v="5096"/>
        <n v="4502"/>
        <n v="3585"/>
        <n v="3532"/>
        <n v="3144"/>
        <n v="3580"/>
        <n v="2309"/>
        <n v="4374"/>
        <n v="3470"/>
        <n v="2657"/>
        <n v="3617"/>
        <n v="2888"/>
        <n v="4364"/>
        <n v="3549"/>
        <n v="3987"/>
        <n v="3324"/>
        <n v="5525"/>
        <n v="4712"/>
        <n v="3474"/>
        <n v="2800"/>
        <n v="3527"/>
        <n v="4768"/>
        <n v="2792"/>
        <n v="4511"/>
        <n v="3746"/>
        <n v="5552"/>
        <n v="3875"/>
        <n v="4732"/>
        <n v="4316"/>
        <n v="5232"/>
        <n v="3637"/>
        <n v="4673"/>
        <n v="4699"/>
        <n v="2412"/>
        <n v="5019"/>
        <n v="4590"/>
        <n v="2713"/>
        <n v="2766"/>
        <n v="2523"/>
        <n v="4144"/>
        <n v="3552"/>
        <n v="3193"/>
        <n v="2790"/>
        <n v="2452"/>
        <n v="3648"/>
        <n v="3866"/>
        <n v="4811"/>
        <n v="4675"/>
        <n v="2356"/>
        <n v="5021"/>
        <n v="3022"/>
        <n v="5567"/>
        <n v="5523"/>
        <n v="2498"/>
        <n v="2986"/>
        <n v="2739"/>
        <n v="5307"/>
        <n v="4932"/>
        <n v="4105"/>
        <n v="4431"/>
        <n v="4520"/>
        <n v="4034"/>
        <n v="3355"/>
        <n v="5439"/>
        <n v="5353"/>
        <n v="4083"/>
        <n v="4087"/>
        <n v="4944"/>
        <n v="4843"/>
        <n v="3299"/>
        <n v="2653"/>
        <n v="5065"/>
        <n v="3319"/>
        <n v="3357"/>
        <n v="4833"/>
        <n v="2998"/>
        <n v="3366"/>
        <n v="2731"/>
        <n v="4227"/>
        <n v="3778"/>
        <n v="3188"/>
        <n v="2894"/>
        <n v="2569"/>
        <n v="2629"/>
        <n v="3838"/>
        <n v="5047"/>
        <n v="4124"/>
        <n v="2688"/>
        <n v="3586"/>
        <n v="4465"/>
        <n v="3956"/>
        <n v="3233"/>
        <n v="2911"/>
        <n v="4307"/>
        <n v="3736"/>
        <n v="4135"/>
        <n v="3275"/>
        <n v="4357"/>
        <n v="3294"/>
        <n v="4754"/>
        <n v="3654"/>
        <n v="3953"/>
        <n v="3379"/>
        <n v="3624"/>
        <n v="2672"/>
        <n v="4575"/>
        <n v="4070"/>
        <n v="3273"/>
        <n v="3368"/>
        <n v="5134"/>
        <n v="3827"/>
        <n v="4593"/>
        <n v="5548"/>
        <n v="3128"/>
        <n v="4918"/>
        <n v="4453"/>
        <n v="4769"/>
        <n v="4375"/>
        <n v="5241"/>
        <n v="3445"/>
        <n v="4862"/>
        <n v="4024"/>
        <n v="4039"/>
        <n v="5017"/>
        <n v="4388"/>
        <n v="3092"/>
        <n v="4770"/>
        <n v="5395"/>
        <n v="4665"/>
        <n v="4901"/>
        <n v="4346"/>
        <n v="4840"/>
        <n v="2565"/>
        <n v="3789"/>
        <n v="2445"/>
        <n v="5272"/>
        <n v="2560"/>
        <n v="4373"/>
        <n v="4847"/>
        <n v="5174"/>
        <n v="5440"/>
        <n v="2786"/>
        <n v="3986"/>
        <n v="3150"/>
        <n v="5410"/>
        <n v="4411"/>
        <n v="4747"/>
        <n v="5186"/>
        <n v="4270"/>
        <n v="2531"/>
        <n v="2440"/>
        <n v="4761"/>
        <n v="5491"/>
        <n v="5171"/>
        <n v="4990"/>
        <n v="4501"/>
        <n v="4150"/>
        <n v="4230"/>
        <n v="2611"/>
        <n v="2332"/>
        <n v="3884"/>
        <n v="4176"/>
        <n v="4635"/>
        <n v="3614"/>
        <n v="3610"/>
        <n v="3116"/>
        <n v="3535"/>
        <n v="3088"/>
        <n v="4719"/>
        <n v="2517"/>
        <n v="3314"/>
        <n v="5294"/>
        <n v="4821"/>
        <n v="2640"/>
        <n v="4456"/>
        <n v="3850"/>
        <n v="5254"/>
        <n v="4023"/>
        <n v="5142"/>
        <n v="3596"/>
        <n v="2339"/>
        <n v="4756"/>
        <n v="4203"/>
        <n v="4627"/>
        <n v="4240"/>
        <n v="3074"/>
        <n v="3651"/>
        <n v="2304"/>
        <n v="2983"/>
        <n v="4106"/>
        <n v="5407"/>
        <n v="3569"/>
        <n v="3262"/>
        <n v="4565"/>
        <n v="4457"/>
        <n v="4598"/>
        <n v="2810"/>
        <n v="4801"/>
        <n v="5575"/>
        <n v="3239"/>
        <n v="5308"/>
        <n v="3660"/>
        <n v="3312"/>
        <n v="5402"/>
        <n v="4067"/>
        <n v="5253"/>
        <n v="4412"/>
        <n v="3911"/>
        <n v="3924"/>
        <n v="5584"/>
        <n v="5284"/>
        <n v="2521"/>
        <n v="5305"/>
        <n v="2468"/>
        <n v="4753"/>
        <n v="2722"/>
        <n v="4717"/>
        <n v="3640"/>
        <n v="3083"/>
        <n v="3011"/>
        <n v="2312"/>
        <n v="3413"/>
        <n v="2582"/>
        <n v="3561"/>
        <n v="3133"/>
        <n v="4080"/>
        <n v="2680"/>
        <n v="3823"/>
        <n v="3658"/>
        <n v="4246"/>
        <n v="2388"/>
        <n v="2918"/>
        <n v="2631"/>
        <n v="4865"/>
        <n v="4483"/>
        <n v="4439"/>
        <n v="3005"/>
        <n v="3151"/>
        <n v="3728"/>
        <n v="2966"/>
        <n v="4212"/>
        <n v="5380"/>
        <n v="2674"/>
        <n v="5325"/>
        <n v="3422"/>
        <n v="4516"/>
        <n v="3903"/>
        <n v="3252"/>
        <n v="2608"/>
        <n v="4418"/>
        <n v="4616"/>
        <n v="2841"/>
        <n v="2845"/>
        <n v="3873"/>
        <n v="2503"/>
        <n v="4599"/>
        <n v="4454"/>
        <n v="5102"/>
        <n v="3755"/>
        <n v="2798"/>
        <n v="4710"/>
        <n v="2418"/>
        <n v="4526"/>
        <n v="5041"/>
        <n v="2370"/>
        <n v="5169"/>
        <n v="5286"/>
      </sharedItems>
    </cacheField>
    <cacheField name="Indirizzo Airbnb" numFmtId="0">
      <sharedItems/>
    </cacheField>
    <cacheField name="Città Airbnb" numFmtId="0">
      <sharedItems count="284">
        <s v="Ede"/>
        <s v="Drammen"/>
        <s v="Gliwice"/>
        <s v="Bally"/>
        <s v="Medio Atrato"/>
        <s v="Pacasmayo"/>
        <s v="Sarpsborg"/>
        <s v="Randburg"/>
        <s v="Yenakiieve"/>
        <s v="Belfast"/>
        <s v="Dublin"/>
        <s v="Shillong"/>
        <s v="Central Water Catchment"/>
        <s v="Olathe"/>
        <s v="Springfield"/>
        <s v="San Carlos"/>
        <s v="Morrinsville"/>
        <s v="Nevers"/>
        <s v="Saintes"/>
        <s v="Kirkwall"/>
        <s v="Elx"/>
        <s v="Lisieux"/>
        <s v="Purnea"/>
        <s v="Dibrugarh"/>
        <s v="Contulmo"/>
        <s v="Vanersborg"/>
        <s v="Ligosullo"/>
        <s v="Surigao City"/>
        <s v="Scena/Schenna"/>
        <s v="Hallein"/>
        <s v="Whangarei"/>
        <s v="Raichur"/>
        <s v="Albany"/>
        <s v="Rahimyar Khan"/>
        <s v="Kuruman"/>
        <s v="Apartadó"/>
        <s v="Leersum"/>
        <s v="Adana"/>
        <s v="Muradiye"/>
        <s v="Barranco Minas"/>
        <s v="Llaillay"/>
        <s v="Darwin"/>
        <s v="Wieze"/>
        <s v="Machelen"/>
        <s v="Sengkang"/>
        <s v="Thabazimbi"/>
        <s v="Uyo"/>
        <s v="Tarnów"/>
        <s v="Oslo"/>
        <s v="Anapolis"/>
        <s v="Montigny-las-Metz"/>
        <s v="Corroy-le-Châeteau"/>
        <s v="Cusco"/>
        <s v="Haaloch"/>
        <s v="Germiston"/>
        <s v="Agartala"/>
        <s v="Koppervik"/>
        <s v="Yunnan"/>
        <s v="Tarakan"/>
        <s v="PÄarbaÅŸÄ"/>
        <s v="Tabaco"/>
        <s v="Andong"/>
        <s v="Loupoigne"/>
        <s v="Beausejour"/>
        <s v="Ludlow"/>
        <s v="Tame"/>
        <s v="Castanhal"/>
        <s v="Salvador"/>
        <s v="Te Awamutu"/>
        <s v="Puntarenas"/>
        <s v="Anhui"/>
        <s v="Hunan"/>
        <s v="Saint-Louis"/>
        <s v="Jiangxi"/>
        <s v="Kohima"/>
        <s v="South Jakarta"/>
        <s v="Notodden"/>
        <s v="Oviedo"/>
        <s v="Veenendaal"/>
        <s v="SuwaÅ‚ki"/>
        <s v="Natales"/>
        <s v="Sicuani"/>
        <s v="Vashkivtsi"/>
        <s v="Aizwal"/>
        <s v="Hái PhÃng"/>
        <s v="Yeongju"/>
        <s v="Zele"/>
        <s v="Dnipro"/>
        <s v="Limoges"/>
        <s v="Melitopol"/>
        <s v="Lansing"/>
        <s v="Seogwipo"/>
        <s v="Baybay"/>
        <s v="Sterling Heights"/>
        <s v="Ingelheim"/>
        <s v="AlingsÃs"/>
        <s v="Imphal"/>
        <s v="Okene"/>
        <s v="Virginia"/>
        <s v="Khushab"/>
        <s v="Jeongeup"/>
        <s v="Tuy HÃa"/>
        <s v="Pondicherry"/>
        <s v="Berdiansk"/>
        <s v="Lagos"/>
        <s v="Serang"/>
        <s v="Tibet"/>
        <s v="GÃteborg"/>
        <s v="Leticia"/>
        <s v="Tengah"/>
        <s v="Hilversum"/>
        <s v="North Waziristan"/>
        <s v="Gansu"/>
        <s v="Annapolis Royal"/>
        <s v="Iquitos"/>
        <s v="Pirmasens"/>
        <s v="Odda"/>
        <s v="Lo Espejo"/>
        <s v="Vienna"/>
        <s v="LeÃn"/>
        <s v="Warri"/>
        <s v="VÃrnamo"/>
        <s v="Putre"/>
        <s v="NÃssjÃu"/>
        <s v="Brechin"/>
        <s v="Tokoroa"/>
        <s v="Noicattaro"/>
        <s v="Weert"/>
        <s v="San Fernando"/>
        <s v="Newcastle"/>
        <s v="Hawick"/>
        <s v="Stratford"/>
        <s v="Mariupol"/>
        <s v="Bengkulu"/>
        <s v="Tiel"/>
        <s v="Gorinchem"/>
        <s v="Tregaron"/>
        <s v="Bruck an der Mur"/>
        <s v="Acquasanta Terme"/>
        <s v="Baltasound"/>
        <s v="Dutse"/>
        <s v="Ila"/>
        <s v="Tagbilaran"/>
        <s v="Bergen"/>
        <s v="Billings"/>
        <s v="Quy Nhaen"/>
        <s v="Gadag Betigeri"/>
        <s v="Murcia"/>
        <s v="Cork"/>
        <s v="Sapele"/>
        <s v="LinkÃping"/>
        <s v="MÅlin"/>
        <s v="Panjim"/>
        <s v="Kurram Agency"/>
        <s v="Kaaskerke"/>
        <s v="Brahmapur"/>
        <s v="Watson Lake"/>
        <s v="SchwÃbisch GmÃnd"/>
        <s v="Volda"/>
        <s v="Wismar"/>
        <s v="Denpasar"/>
        <s v="Rockford"/>
        <s v="Laguna Blanca"/>
        <s v="Abeokuta"/>
        <s v="Tabuk"/>
        <s v="Namsos"/>
        <s v="Lanester"/>
        <s v="Van"/>
        <s v="Hamilton"/>
        <s v="Montauban"/>
        <s v="Guizhou"/>
        <s v="Mamuju"/>
        <s v="Tumaco"/>
        <s v="Mount Gambier"/>
        <s v="Geelong"/>
        <s v="Fortune"/>
        <s v="Anklam"/>
        <s v="San Pedro"/>
        <s v="RÃ­o Bueno"/>
        <s v="River Valley"/>
        <s v="Jafarabad"/>
        <s v="Caloundra"/>
        <s v="Delhi"/>
        <s v="Ãkersberga"/>
        <s v="Gunsan"/>
        <s v="Heilongjiang"/>
        <s v="Gols"/>
        <s v="Pontianak"/>
        <s v="RÃ­o IbÃez"/>
        <s v="Piedras Negras"/>
        <s v="Porsgrunn"/>
        <s v="Ladysmith"/>
        <s v="General Santos"/>
        <s v="Ebenthal in KÃrnten"/>
        <s v="Tyumen"/>
        <s v="San Luis PotosÃ­"/>
        <s v="Purranque"/>
        <s v="Siquirres"/>
        <s v="Barranca"/>
        <s v="Wodonga"/>
        <s v="Ikot Ekpene"/>
        <s v="Mexico City"/>
        <s v="CÃceres"/>
        <s v="Coevorden"/>
        <s v="Warburg"/>
        <s v="San Pablo"/>
        <s v="TehuacÃn"/>
        <s v="Okpoko"/>
        <s v="Pukekohe"/>
        <s v="Waren"/>
        <s v="Yellowknife"/>
        <s v="Burgos"/>
        <s v="Khmelnytskyi"/>
        <s v="Hudiksvall"/>
        <s v="Cagayan de Oro"/>
        <s v="Goes"/>
        <s v="Mojokerto"/>
        <s v="Sandy"/>
        <s v="Rennes"/>
        <s v="Bhimber"/>
        <s v="Cagnes-sur-Mer"/>
        <s v="Villarrica"/>
        <s v="La Seyne-sur-Mer"/>
        <s v="Colchane"/>
        <s v="Berlin"/>
        <s v="Santander"/>
        <s v="Cali"/>
        <s v="Bima"/>
        <s v="Mandai"/>
        <s v="Saint-LÃ´"/>
        <s v="Baddeck"/>
        <s v="Dollard-des-Ormeaux"/>
        <s v="Alva"/>
        <s v="Bolsward"/>
        <s v="Flekkefjord"/>
        <s v="Bajaur Agency"/>
        <s v="Izium"/>
        <s v="Hamburg"/>
        <s v="Evere"/>
        <s v="Dole"/>
        <s v="Columbus"/>
        <s v="SuruÃ§"/>
        <s v="Tuticorin"/>
        <s v="Mo i Rana"/>
        <s v="MÃrida"/>
        <s v="Gebze"/>
        <s v="Kinrooi"/>
        <s v="Kharmang"/>
        <s v="Tilburg"/>
        <s v="Kyiv"/>
        <s v="Kongsvinger"/>
        <s v="Thá Dáu Má"/>
        <s v="Racine"/>
        <s v="Tarma"/>
        <s v="Hebei"/>
        <s v="Ghanche"/>
        <s v="Inner Mongolia"/>
        <s v="Valledupar"/>
        <s v="Pelarco"/>
        <s v="PoznaÅ„"/>
        <s v="Bacoor"/>
        <s v="Timaru"/>
        <s v="Castelnovo del Friuli"/>
        <s v="Neunkirchen"/>
        <s v="Puerto Varas"/>
        <s v="Rangiora"/>
        <s v="Heerhugowaard"/>
        <s v="Pica"/>
        <s v="Almere"/>
        <s v="Stafford"/>
        <s v="Marina South"/>
        <s v="Zapopan"/>
        <s v="Foligno"/>
        <s v="Cedar Rapids"/>
        <s v="Kinross"/>
        <s v="Montague"/>
        <s v="Kettering"/>
        <s v="Mokpo"/>
        <s v="Kaduna"/>
        <s v="La UniÃ³n"/>
        <s v="Steinkjer"/>
        <s v="Narimanov"/>
        <s v="Sujawal"/>
        <s v="McCallum"/>
      </sharedItems>
    </cacheField>
    <cacheField name="Costo a Notte (€)" numFmtId="6">
      <sharedItems containsSemiMixedTypes="0" containsString="0" containsNumber="1" containsInteger="1" minValue="20" maxValue="300"/>
    </cacheField>
    <cacheField name="Numero Notti" numFmtId="0">
      <sharedItems containsSemiMixedTypes="0" containsString="0" containsNumber="1" containsInteger="1" minValue="1" maxValue="10"/>
    </cacheField>
    <cacheField name="Spesa totale per ogni utente " numFmtId="6">
      <sharedItems containsSemiMixedTypes="0" containsString="0" containsNumber="1" containsInteger="1" minValue="20" maxValue="2860"/>
    </cacheField>
    <cacheField name="Paese di provenienza" numFmtId="0">
      <sharedItems/>
    </cacheField>
    <cacheField name="Data di Nascita" numFmtId="14">
      <sharedItems containsSemiMixedTypes="0" containsNonDate="0" containsDate="1" containsString="0" minDate="1955-01-25T00:00:00" maxDate="1995-08-22T00:00:00"/>
    </cacheField>
    <cacheField name="Membri della Famiglia" numFmtId="0">
      <sharedItems containsSemiMixedTypes="0" containsString="0" containsNumber="1" containsInteger="1" minValue="1" maxValue="7"/>
    </cacheField>
    <cacheField name="Valutazione" numFmtId="0">
      <sharedItems containsSemiMixedTypes="0" containsString="0" containsNumber="1" containsInteger="1" minValue="1" maxValue="5" count="5">
        <n v="3"/>
        <n v="5"/>
        <n v="2"/>
        <n v="1"/>
        <n v="4"/>
      </sharedItems>
    </cacheField>
    <cacheField name="Valutazione sull'attenzione all'ambiente della città" numFmtId="0">
      <sharedItems containsSemiMixedTypes="0" containsString="0" containsNumber="1" containsInteger="1" minValue="0" maxValue="10" count="11">
        <n v="2"/>
        <n v="5"/>
        <n v="7"/>
        <n v="4"/>
        <n v="9"/>
        <n v="1"/>
        <n v="8"/>
        <n v="3"/>
        <n v="6"/>
        <n v="10"/>
        <n v="0"/>
      </sharedItems>
    </cacheField>
    <cacheField name="Rent Mezzo - Auto" numFmtId="0">
      <sharedItems count="2">
        <s v="No"/>
        <s v="Sì"/>
      </sharedItems>
    </cacheField>
    <cacheField name="Rent Mezzo - Biciletta" numFmtId="0">
      <sharedItems count="2">
        <s v="No"/>
        <s v="Sì"/>
      </sharedItems>
    </cacheField>
    <cacheField name="Rent Mezzo - Monopattino" numFmtId="0">
      <sharedItems count="2">
        <s v="Sì"/>
        <s v="No"/>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x v="0"/>
    <s v="Ap #257-5309 Fringilla. Avenue"/>
    <x v="0"/>
    <n v="241"/>
    <n v="6"/>
    <n v="1446"/>
    <s v="France"/>
    <d v="1961-03-10T00:00:00"/>
    <n v="4"/>
    <x v="0"/>
    <x v="0"/>
    <x v="0"/>
    <x v="0"/>
    <x v="0"/>
  </r>
  <r>
    <x v="1"/>
    <s v="8531 Eget Rd."/>
    <x v="1"/>
    <n v="89"/>
    <n v="6"/>
    <n v="534"/>
    <s v="Netherlands"/>
    <d v="1990-07-09T00:00:00"/>
    <n v="3"/>
    <x v="1"/>
    <x v="1"/>
    <x v="1"/>
    <x v="0"/>
    <x v="0"/>
  </r>
  <r>
    <x v="2"/>
    <s v="P.O. Box 620, 4294 Habitant St."/>
    <x v="2"/>
    <n v="165"/>
    <n v="4"/>
    <n v="660"/>
    <s v="Norway"/>
    <d v="1985-05-10T00:00:00"/>
    <n v="1"/>
    <x v="2"/>
    <x v="2"/>
    <x v="0"/>
    <x v="1"/>
    <x v="0"/>
  </r>
  <r>
    <x v="3"/>
    <s v="P.O. Box 570, 7035 Dui Rd."/>
    <x v="3"/>
    <n v="202"/>
    <n v="3"/>
    <n v="606"/>
    <s v="Ukraine"/>
    <d v="1987-04-28T00:00:00"/>
    <n v="5"/>
    <x v="1"/>
    <x v="3"/>
    <x v="1"/>
    <x v="0"/>
    <x v="1"/>
  </r>
  <r>
    <x v="4"/>
    <s v="509-5668 Neque Ave"/>
    <x v="4"/>
    <n v="99"/>
    <n v="5"/>
    <n v="495"/>
    <s v="South Korea"/>
    <d v="1964-11-15T00:00:00"/>
    <n v="4"/>
    <x v="2"/>
    <x v="4"/>
    <x v="0"/>
    <x v="0"/>
    <x v="1"/>
  </r>
  <r>
    <x v="5"/>
    <s v="Ap #147-9766 A, Road"/>
    <x v="5"/>
    <n v="135"/>
    <n v="1"/>
    <n v="135"/>
    <s v="Ukraine"/>
    <d v="1965-08-29T00:00:00"/>
    <n v="4"/>
    <x v="2"/>
    <x v="5"/>
    <x v="0"/>
    <x v="0"/>
    <x v="0"/>
  </r>
  <r>
    <x v="6"/>
    <s v="Ap #111-2125 Mollis. Av."/>
    <x v="6"/>
    <n v="263"/>
    <n v="3"/>
    <n v="789"/>
    <s v="Vietnam"/>
    <d v="1965-09-09T00:00:00"/>
    <n v="6"/>
    <x v="1"/>
    <x v="4"/>
    <x v="1"/>
    <x v="0"/>
    <x v="0"/>
  </r>
  <r>
    <x v="7"/>
    <s v="3112 Sed Rd."/>
    <x v="7"/>
    <n v="264"/>
    <n v="10"/>
    <n v="2640"/>
    <s v="Mexico"/>
    <d v="1984-09-13T00:00:00"/>
    <n v="3"/>
    <x v="3"/>
    <x v="5"/>
    <x v="0"/>
    <x v="0"/>
    <x v="0"/>
  </r>
  <r>
    <x v="8"/>
    <s v="637-1093 Mauris. Avenue"/>
    <x v="8"/>
    <n v="67"/>
    <n v="5"/>
    <n v="335"/>
    <s v="Colombia"/>
    <d v="1982-05-08T00:00:00"/>
    <n v="7"/>
    <x v="1"/>
    <x v="6"/>
    <x v="1"/>
    <x v="0"/>
    <x v="1"/>
  </r>
  <r>
    <x v="9"/>
    <s v="Ap #500-9652 Tellus Road"/>
    <x v="9"/>
    <n v="300"/>
    <n v="1"/>
    <n v="300"/>
    <s v="Mexico"/>
    <d v="1968-02-05T00:00:00"/>
    <n v="4"/>
    <x v="0"/>
    <x v="5"/>
    <x v="1"/>
    <x v="1"/>
    <x v="1"/>
  </r>
  <r>
    <x v="10"/>
    <s v="755-4790 Risus, Street"/>
    <x v="10"/>
    <n v="300"/>
    <n v="4"/>
    <n v="1200"/>
    <s v="Australia"/>
    <d v="1958-08-14T00:00:00"/>
    <n v="2"/>
    <x v="3"/>
    <x v="1"/>
    <x v="1"/>
    <x v="0"/>
    <x v="1"/>
  </r>
  <r>
    <x v="11"/>
    <s v="4467 Non, Road"/>
    <x v="11"/>
    <n v="277"/>
    <n v="4"/>
    <n v="1108"/>
    <s v="China"/>
    <d v="1963-01-04T00:00:00"/>
    <n v="4"/>
    <x v="0"/>
    <x v="7"/>
    <x v="0"/>
    <x v="1"/>
    <x v="0"/>
  </r>
  <r>
    <x v="12"/>
    <s v="3075 Tempor Av."/>
    <x v="12"/>
    <n v="225"/>
    <n v="10"/>
    <n v="2250"/>
    <s v="South Korea"/>
    <d v="1965-03-25T00:00:00"/>
    <n v="2"/>
    <x v="1"/>
    <x v="6"/>
    <x v="0"/>
    <x v="0"/>
    <x v="1"/>
  </r>
  <r>
    <x v="13"/>
    <s v="Ap #813-5826 Vestibulum, St."/>
    <x v="13"/>
    <n v="157"/>
    <n v="6"/>
    <n v="942"/>
    <s v="Indonesia"/>
    <d v="1957-11-05T00:00:00"/>
    <n v="3"/>
    <x v="4"/>
    <x v="7"/>
    <x v="1"/>
    <x v="0"/>
    <x v="0"/>
  </r>
  <r>
    <x v="14"/>
    <s v="936-1400 Cum Road"/>
    <x v="14"/>
    <n v="97"/>
    <n v="9"/>
    <n v="873"/>
    <s v="Ukraine"/>
    <d v="1966-11-07T00:00:00"/>
    <n v="3"/>
    <x v="2"/>
    <x v="6"/>
    <x v="1"/>
    <x v="1"/>
    <x v="0"/>
  </r>
  <r>
    <x v="15"/>
    <s v="Ap #851-3607 Semper Ave"/>
    <x v="15"/>
    <n v="249"/>
    <n v="3"/>
    <n v="747"/>
    <s v="Philippines"/>
    <d v="1974-07-15T00:00:00"/>
    <n v="6"/>
    <x v="4"/>
    <x v="2"/>
    <x v="0"/>
    <x v="0"/>
    <x v="1"/>
  </r>
  <r>
    <x v="16"/>
    <s v="532 Netus Road"/>
    <x v="16"/>
    <n v="216"/>
    <n v="2"/>
    <n v="432"/>
    <s v="China"/>
    <d v="1994-11-04T00:00:00"/>
    <n v="7"/>
    <x v="4"/>
    <x v="0"/>
    <x v="0"/>
    <x v="1"/>
    <x v="0"/>
  </r>
  <r>
    <x v="17"/>
    <s v="316 Arcu. Road"/>
    <x v="17"/>
    <n v="117"/>
    <n v="5"/>
    <n v="585"/>
    <s v="Belgium"/>
    <d v="1981-10-13T00:00:00"/>
    <n v="3"/>
    <x v="3"/>
    <x v="8"/>
    <x v="1"/>
    <x v="1"/>
    <x v="0"/>
  </r>
  <r>
    <x v="18"/>
    <s v="Ap #353-4127 In Av."/>
    <x v="5"/>
    <n v="204"/>
    <n v="3"/>
    <n v="612"/>
    <s v="Germny"/>
    <d v="1970-05-17T00:00:00"/>
    <n v="6"/>
    <x v="0"/>
    <x v="0"/>
    <x v="0"/>
    <x v="1"/>
    <x v="0"/>
  </r>
  <r>
    <x v="19"/>
    <s v="383-5707 Lacus. Street"/>
    <x v="10"/>
    <n v="69"/>
    <n v="3"/>
    <n v="207"/>
    <s v="Peru"/>
    <d v="1959-09-23T00:00:00"/>
    <n v="1"/>
    <x v="2"/>
    <x v="9"/>
    <x v="1"/>
    <x v="0"/>
    <x v="0"/>
  </r>
  <r>
    <x v="20"/>
    <s v="545 Semper St."/>
    <x v="18"/>
    <n v="53"/>
    <n v="8"/>
    <n v="424"/>
    <s v="Italy"/>
    <d v="1981-04-21T00:00:00"/>
    <n v="3"/>
    <x v="4"/>
    <x v="1"/>
    <x v="0"/>
    <x v="0"/>
    <x v="1"/>
  </r>
  <r>
    <x v="21"/>
    <s v="Ap #196-6494 Ac Road"/>
    <x v="19"/>
    <n v="176"/>
    <n v="5"/>
    <n v="880"/>
    <s v="Russian Federation"/>
    <d v="1970-05-05T00:00:00"/>
    <n v="7"/>
    <x v="2"/>
    <x v="3"/>
    <x v="1"/>
    <x v="1"/>
    <x v="0"/>
  </r>
  <r>
    <x v="22"/>
    <s v="Ap #848-3365 Sed Av."/>
    <x v="20"/>
    <n v="74"/>
    <n v="1"/>
    <n v="74"/>
    <s v="Pakistan"/>
    <d v="1993-08-04T00:00:00"/>
    <n v="7"/>
    <x v="0"/>
    <x v="0"/>
    <x v="1"/>
    <x v="1"/>
    <x v="0"/>
  </r>
  <r>
    <x v="23"/>
    <s v="6759 Augue Street"/>
    <x v="21"/>
    <n v="194"/>
    <n v="4"/>
    <n v="776"/>
    <s v="Colombia"/>
    <d v="1993-06-21T00:00:00"/>
    <n v="2"/>
    <x v="0"/>
    <x v="7"/>
    <x v="1"/>
    <x v="0"/>
    <x v="1"/>
  </r>
  <r>
    <x v="24"/>
    <s v="424-2497 Integer St."/>
    <x v="22"/>
    <n v="233"/>
    <n v="9"/>
    <n v="2097"/>
    <s v="China"/>
    <d v="1992-11-05T00:00:00"/>
    <n v="1"/>
    <x v="0"/>
    <x v="3"/>
    <x v="1"/>
    <x v="0"/>
    <x v="0"/>
  </r>
  <r>
    <x v="25"/>
    <s v="303-7208 Pharetra. St."/>
    <x v="10"/>
    <n v="179"/>
    <n v="7"/>
    <n v="1253"/>
    <s v="United States"/>
    <d v="1963-01-16T00:00:00"/>
    <n v="7"/>
    <x v="2"/>
    <x v="9"/>
    <x v="0"/>
    <x v="1"/>
    <x v="0"/>
  </r>
  <r>
    <x v="26"/>
    <s v="P.O. Box 164, 5952 Vivamus Av."/>
    <x v="23"/>
    <n v="286"/>
    <n v="10"/>
    <n v="2860"/>
    <s v="Netherlands"/>
    <d v="1964-07-16T00:00:00"/>
    <n v="1"/>
    <x v="3"/>
    <x v="7"/>
    <x v="0"/>
    <x v="0"/>
    <x v="0"/>
  </r>
  <r>
    <x v="27"/>
    <s v="Ap #444-2218 Nisi Road"/>
    <x v="24"/>
    <n v="156"/>
    <n v="10"/>
    <n v="1560"/>
    <s v="Mexico"/>
    <d v="1976-10-07T00:00:00"/>
    <n v="5"/>
    <x v="2"/>
    <x v="3"/>
    <x v="1"/>
    <x v="1"/>
    <x v="0"/>
  </r>
  <r>
    <x v="28"/>
    <s v="Ap #977-5561 Non Ave"/>
    <x v="25"/>
    <n v="259"/>
    <n v="9"/>
    <n v="2331"/>
    <s v="Australia"/>
    <d v="1992-09-11T00:00:00"/>
    <n v="7"/>
    <x v="0"/>
    <x v="9"/>
    <x v="1"/>
    <x v="0"/>
    <x v="1"/>
  </r>
  <r>
    <x v="29"/>
    <s v="Ap #831-8016 Aenean Street"/>
    <x v="26"/>
    <n v="273"/>
    <n v="10"/>
    <n v="2730"/>
    <s v="Chile"/>
    <d v="1988-01-17T00:00:00"/>
    <n v="3"/>
    <x v="0"/>
    <x v="9"/>
    <x v="1"/>
    <x v="1"/>
    <x v="1"/>
  </r>
  <r>
    <x v="30"/>
    <s v="7007 Nunc Ave"/>
    <x v="27"/>
    <n v="229"/>
    <n v="8"/>
    <n v="1832"/>
    <s v="Turkey"/>
    <d v="1960-06-17T00:00:00"/>
    <n v="1"/>
    <x v="4"/>
    <x v="7"/>
    <x v="0"/>
    <x v="1"/>
    <x v="1"/>
  </r>
  <r>
    <x v="31"/>
    <s v="386-7912 Penatibus Rd."/>
    <x v="28"/>
    <n v="254"/>
    <n v="2"/>
    <n v="508"/>
    <s v="Indonesia"/>
    <d v="1991-01-20T00:00:00"/>
    <n v="5"/>
    <x v="2"/>
    <x v="6"/>
    <x v="0"/>
    <x v="1"/>
    <x v="1"/>
  </r>
  <r>
    <x v="32"/>
    <s v="571-3079 Mauris. Rd."/>
    <x v="29"/>
    <n v="97"/>
    <n v="4"/>
    <n v="388"/>
    <s v="Russian Federation"/>
    <d v="1967-04-18T00:00:00"/>
    <n v="2"/>
    <x v="2"/>
    <x v="3"/>
    <x v="0"/>
    <x v="1"/>
    <x v="0"/>
  </r>
  <r>
    <x v="33"/>
    <s v="Ap #256-536 Dolor Rd."/>
    <x v="30"/>
    <n v="271"/>
    <n v="3"/>
    <n v="813"/>
    <s v="Poland"/>
    <d v="1972-12-11T00:00:00"/>
    <n v="1"/>
    <x v="3"/>
    <x v="0"/>
    <x v="1"/>
    <x v="0"/>
    <x v="1"/>
  </r>
  <r>
    <x v="34"/>
    <s v="1535 Aliquam Street"/>
    <x v="31"/>
    <n v="167"/>
    <n v="9"/>
    <n v="1503"/>
    <s v="Italy"/>
    <d v="1993-02-11T00:00:00"/>
    <n v="5"/>
    <x v="1"/>
    <x v="0"/>
    <x v="0"/>
    <x v="0"/>
    <x v="1"/>
  </r>
  <r>
    <x v="35"/>
    <s v="4709 Ut St."/>
    <x v="31"/>
    <n v="148"/>
    <n v="7"/>
    <n v="1036"/>
    <s v="Australia"/>
    <d v="1962-11-30T00:00:00"/>
    <n v="3"/>
    <x v="3"/>
    <x v="3"/>
    <x v="1"/>
    <x v="1"/>
    <x v="1"/>
  </r>
  <r>
    <x v="36"/>
    <s v="Ap #335-8006 Eget, Rd."/>
    <x v="32"/>
    <n v="87"/>
    <n v="3"/>
    <n v="261"/>
    <s v="United States"/>
    <d v="1964-03-19T00:00:00"/>
    <n v="2"/>
    <x v="2"/>
    <x v="8"/>
    <x v="1"/>
    <x v="1"/>
    <x v="1"/>
  </r>
  <r>
    <x v="37"/>
    <s v="Ap #702-2747 Ut Ave"/>
    <x v="33"/>
    <n v="62"/>
    <n v="9"/>
    <n v="558"/>
    <s v="Ireland"/>
    <d v="1984-05-31T00:00:00"/>
    <n v="7"/>
    <x v="0"/>
    <x v="10"/>
    <x v="0"/>
    <x v="1"/>
    <x v="0"/>
  </r>
  <r>
    <x v="38"/>
    <s v="8040 Eu Ave"/>
    <x v="34"/>
    <n v="66"/>
    <n v="5"/>
    <n v="330"/>
    <s v="Colombia"/>
    <d v="1990-03-04T00:00:00"/>
    <n v="7"/>
    <x v="0"/>
    <x v="9"/>
    <x v="1"/>
    <x v="0"/>
    <x v="0"/>
  </r>
  <r>
    <x v="39"/>
    <s v="487-2377 Et Rd."/>
    <x v="35"/>
    <n v="240"/>
    <n v="8"/>
    <n v="1920"/>
    <s v="Colombia"/>
    <d v="1964-09-19T00:00:00"/>
    <n v="1"/>
    <x v="4"/>
    <x v="10"/>
    <x v="1"/>
    <x v="0"/>
    <x v="0"/>
  </r>
  <r>
    <x v="40"/>
    <s v="P.O. Box 305, 4592 Risus. Av."/>
    <x v="36"/>
    <n v="285"/>
    <n v="4"/>
    <n v="1140"/>
    <s v="Chile"/>
    <d v="1980-11-25T00:00:00"/>
    <n v="2"/>
    <x v="1"/>
    <x v="4"/>
    <x v="1"/>
    <x v="0"/>
    <x v="1"/>
  </r>
  <r>
    <x v="41"/>
    <s v="4059 Mauris Street"/>
    <x v="37"/>
    <n v="101"/>
    <n v="8"/>
    <n v="808"/>
    <s v="Colombia"/>
    <d v="1959-11-01T00:00:00"/>
    <n v="4"/>
    <x v="3"/>
    <x v="10"/>
    <x v="1"/>
    <x v="1"/>
    <x v="0"/>
  </r>
  <r>
    <x v="42"/>
    <s v="970-8387 Suspendisse Street"/>
    <x v="38"/>
    <n v="94"/>
    <n v="6"/>
    <n v="564"/>
    <s v="United States"/>
    <d v="1970-11-23T00:00:00"/>
    <n v="7"/>
    <x v="3"/>
    <x v="10"/>
    <x v="0"/>
    <x v="0"/>
    <x v="1"/>
  </r>
  <r>
    <x v="43"/>
    <s v="407-6919 Et, Ave"/>
    <x v="39"/>
    <n v="22"/>
    <n v="6"/>
    <n v="132"/>
    <s v="China"/>
    <d v="1986-08-11T00:00:00"/>
    <n v="4"/>
    <x v="0"/>
    <x v="7"/>
    <x v="1"/>
    <x v="1"/>
    <x v="1"/>
  </r>
  <r>
    <x v="44"/>
    <s v="Ap #358-9082 Praesent Rd."/>
    <x v="40"/>
    <n v="177"/>
    <n v="3"/>
    <n v="531"/>
    <s v="India"/>
    <d v="1955-08-19T00:00:00"/>
    <n v="7"/>
    <x v="4"/>
    <x v="5"/>
    <x v="1"/>
    <x v="1"/>
    <x v="0"/>
  </r>
  <r>
    <x v="45"/>
    <s v="9692 Lectus Road"/>
    <x v="41"/>
    <n v="151"/>
    <n v="9"/>
    <n v="1359"/>
    <s v="South Africa"/>
    <d v="1963-04-21T00:00:00"/>
    <n v="4"/>
    <x v="4"/>
    <x v="10"/>
    <x v="0"/>
    <x v="0"/>
    <x v="1"/>
  </r>
  <r>
    <x v="46"/>
    <s v="P.O. Box 816, 7077 Augue Road"/>
    <x v="42"/>
    <n v="33"/>
    <n v="9"/>
    <n v="297"/>
    <s v="Canada"/>
    <d v="1961-05-28T00:00:00"/>
    <n v="4"/>
    <x v="4"/>
    <x v="3"/>
    <x v="1"/>
    <x v="1"/>
    <x v="1"/>
  </r>
  <r>
    <x v="47"/>
    <s v="562-9178 Tincidunt Rd."/>
    <x v="43"/>
    <n v="199"/>
    <n v="6"/>
    <n v="1194"/>
    <s v="Belgium"/>
    <d v="1961-11-18T00:00:00"/>
    <n v="5"/>
    <x v="3"/>
    <x v="0"/>
    <x v="1"/>
    <x v="1"/>
    <x v="1"/>
  </r>
  <r>
    <x v="48"/>
    <s v="977-5838 Non St."/>
    <x v="44"/>
    <n v="255"/>
    <n v="3"/>
    <n v="765"/>
    <s v="Poland"/>
    <d v="1982-06-25T00:00:00"/>
    <n v="4"/>
    <x v="0"/>
    <x v="0"/>
    <x v="1"/>
    <x v="1"/>
    <x v="0"/>
  </r>
  <r>
    <x v="49"/>
    <s v="Ap #934-9893 Sed, St."/>
    <x v="45"/>
    <n v="28"/>
    <n v="1"/>
    <n v="28"/>
    <s v="Costa Rica"/>
    <d v="1965-02-24T00:00:00"/>
    <n v="2"/>
    <x v="1"/>
    <x v="9"/>
    <x v="1"/>
    <x v="1"/>
    <x v="0"/>
  </r>
  <r>
    <x v="50"/>
    <s v="Ap #307-5764 Interdum Street"/>
    <x v="46"/>
    <n v="72"/>
    <n v="2"/>
    <n v="144"/>
    <s v="Ireland"/>
    <d v="1976-01-29T00:00:00"/>
    <n v="2"/>
    <x v="2"/>
    <x v="0"/>
    <x v="0"/>
    <x v="0"/>
    <x v="0"/>
  </r>
  <r>
    <x v="51"/>
    <s v="Ap #946-1886 Morbi Ave"/>
    <x v="47"/>
    <n v="253"/>
    <n v="5"/>
    <n v="1265"/>
    <s v="Nigeria"/>
    <d v="1959-08-06T00:00:00"/>
    <n v="7"/>
    <x v="3"/>
    <x v="0"/>
    <x v="0"/>
    <x v="1"/>
    <x v="1"/>
  </r>
  <r>
    <x v="52"/>
    <s v="1371 Aliquam Rd."/>
    <x v="48"/>
    <n v="161"/>
    <n v="10"/>
    <n v="1610"/>
    <s v="Ukraine"/>
    <d v="1988-06-17T00:00:00"/>
    <n v="5"/>
    <x v="2"/>
    <x v="3"/>
    <x v="0"/>
    <x v="1"/>
    <x v="0"/>
  </r>
  <r>
    <x v="53"/>
    <s v="191-7433 Enim St."/>
    <x v="49"/>
    <n v="73"/>
    <n v="4"/>
    <n v="292"/>
    <s v="Spain"/>
    <d v="1981-11-03T00:00:00"/>
    <n v="7"/>
    <x v="0"/>
    <x v="7"/>
    <x v="0"/>
    <x v="0"/>
    <x v="0"/>
  </r>
  <r>
    <x v="54"/>
    <s v="272-3678 Massa. Avenue"/>
    <x v="50"/>
    <n v="71"/>
    <n v="5"/>
    <n v="355"/>
    <s v="Norway"/>
    <d v="1955-09-28T00:00:00"/>
    <n v="7"/>
    <x v="0"/>
    <x v="2"/>
    <x v="1"/>
    <x v="1"/>
    <x v="1"/>
  </r>
  <r>
    <x v="55"/>
    <s v="Ap #947-4789 Libero St."/>
    <x v="51"/>
    <n v="178"/>
    <n v="1"/>
    <n v="178"/>
    <s v="Colombia"/>
    <d v="1989-05-21T00:00:00"/>
    <n v="5"/>
    <x v="1"/>
    <x v="10"/>
    <x v="0"/>
    <x v="1"/>
    <x v="0"/>
  </r>
  <r>
    <x v="56"/>
    <s v="P.O. Box 415, 6144 Mauris St."/>
    <x v="52"/>
    <n v="121"/>
    <n v="5"/>
    <n v="605"/>
    <s v="Russian Federation"/>
    <d v="1963-08-13T00:00:00"/>
    <n v="5"/>
    <x v="1"/>
    <x v="6"/>
    <x v="0"/>
    <x v="1"/>
    <x v="1"/>
  </r>
  <r>
    <x v="57"/>
    <s v="678-5365 Enim. Avenue"/>
    <x v="53"/>
    <n v="119"/>
    <n v="7"/>
    <n v="833"/>
    <s v="France"/>
    <d v="1980-11-20T00:00:00"/>
    <n v="4"/>
    <x v="2"/>
    <x v="7"/>
    <x v="0"/>
    <x v="1"/>
    <x v="1"/>
  </r>
  <r>
    <x v="58"/>
    <s v="Ap #541-3259 Egestas Ave"/>
    <x v="54"/>
    <n v="40"/>
    <n v="7"/>
    <n v="280"/>
    <s v="Australia"/>
    <d v="1990-11-27T00:00:00"/>
    <n v="2"/>
    <x v="2"/>
    <x v="5"/>
    <x v="0"/>
    <x v="0"/>
    <x v="1"/>
  </r>
  <r>
    <x v="59"/>
    <s v="482-6101 Donec Avenue"/>
    <x v="55"/>
    <n v="140"/>
    <n v="2"/>
    <n v="280"/>
    <s v="Poland"/>
    <d v="1984-10-31T00:00:00"/>
    <n v="1"/>
    <x v="2"/>
    <x v="5"/>
    <x v="1"/>
    <x v="0"/>
    <x v="1"/>
  </r>
  <r>
    <x v="60"/>
    <s v="P.O. Box 766, 1927 Consequat St."/>
    <x v="56"/>
    <n v="139"/>
    <n v="8"/>
    <n v="1112"/>
    <s v="Norway"/>
    <d v="1990-09-11T00:00:00"/>
    <n v="2"/>
    <x v="2"/>
    <x v="3"/>
    <x v="1"/>
    <x v="0"/>
    <x v="0"/>
  </r>
  <r>
    <x v="61"/>
    <s v="P.O. Box 162, 4202 Sem. Street"/>
    <x v="57"/>
    <n v="89"/>
    <n v="9"/>
    <n v="801"/>
    <s v="Brazil"/>
    <d v="1984-03-05T00:00:00"/>
    <n v="7"/>
    <x v="3"/>
    <x v="0"/>
    <x v="1"/>
    <x v="0"/>
    <x v="0"/>
  </r>
  <r>
    <x v="62"/>
    <s v="P.O. Box 935, 4240 Sem. Street"/>
    <x v="58"/>
    <n v="152"/>
    <n v="9"/>
    <n v="1368"/>
    <s v="Philippines"/>
    <d v="1969-05-16T00:00:00"/>
    <n v="2"/>
    <x v="4"/>
    <x v="6"/>
    <x v="0"/>
    <x v="1"/>
    <x v="0"/>
  </r>
  <r>
    <x v="63"/>
    <s v="Ap #893-7480 Ipsum St."/>
    <x v="59"/>
    <n v="36"/>
    <n v="5"/>
    <n v="180"/>
    <s v="Turkey"/>
    <d v="1978-09-01T00:00:00"/>
    <n v="4"/>
    <x v="1"/>
    <x v="9"/>
    <x v="1"/>
    <x v="0"/>
    <x v="1"/>
  </r>
  <r>
    <x v="64"/>
    <s v="959-5475 Nascetur Rd."/>
    <x v="60"/>
    <n v="284"/>
    <n v="1"/>
    <n v="284"/>
    <s v="South Korea"/>
    <d v="1981-04-10T00:00:00"/>
    <n v="1"/>
    <x v="0"/>
    <x v="8"/>
    <x v="0"/>
    <x v="0"/>
    <x v="0"/>
  </r>
  <r>
    <x v="65"/>
    <s v="Ap #763-4986 Mauris St."/>
    <x v="61"/>
    <n v="141"/>
    <n v="3"/>
    <n v="423"/>
    <s v="Netherlands"/>
    <d v="1971-03-23T00:00:00"/>
    <n v="1"/>
    <x v="3"/>
    <x v="1"/>
    <x v="0"/>
    <x v="0"/>
    <x v="1"/>
  </r>
  <r>
    <x v="66"/>
    <s v="P.O. Box 296, 7265 Sem, Avenue"/>
    <x v="62"/>
    <n v="138"/>
    <n v="4"/>
    <n v="552"/>
    <s v="Turkey"/>
    <d v="1995-02-19T00:00:00"/>
    <n v="5"/>
    <x v="1"/>
    <x v="0"/>
    <x v="1"/>
    <x v="0"/>
    <x v="1"/>
  </r>
  <r>
    <x v="67"/>
    <s v="923-1112 Ornare, St."/>
    <x v="63"/>
    <n v="157"/>
    <n v="4"/>
    <n v="628"/>
    <s v="China"/>
    <d v="1976-01-28T00:00:00"/>
    <n v="6"/>
    <x v="4"/>
    <x v="0"/>
    <x v="0"/>
    <x v="1"/>
    <x v="1"/>
  </r>
  <r>
    <x v="68"/>
    <s v="P.O. Box 640, 7680 Odio. Rd."/>
    <x v="64"/>
    <n v="114"/>
    <n v="4"/>
    <n v="456"/>
    <s v="United Kingdom"/>
    <d v="1994-01-02T00:00:00"/>
    <n v="6"/>
    <x v="2"/>
    <x v="7"/>
    <x v="0"/>
    <x v="1"/>
    <x v="0"/>
  </r>
  <r>
    <x v="69"/>
    <s v="708-9419 Congue, Street"/>
    <x v="65"/>
    <n v="98"/>
    <n v="7"/>
    <n v="686"/>
    <s v="Ukraine"/>
    <d v="1988-03-15T00:00:00"/>
    <n v="2"/>
    <x v="3"/>
    <x v="2"/>
    <x v="0"/>
    <x v="1"/>
    <x v="1"/>
  </r>
  <r>
    <x v="70"/>
    <s v="P.O. Box 983, 6635 Nunc Av."/>
    <x v="66"/>
    <n v="57"/>
    <n v="10"/>
    <n v="570"/>
    <s v="Germany"/>
    <d v="1956-04-19T00:00:00"/>
    <n v="4"/>
    <x v="3"/>
    <x v="2"/>
    <x v="1"/>
    <x v="0"/>
    <x v="0"/>
  </r>
  <r>
    <x v="71"/>
    <s v="573-8240 Nulla Rd."/>
    <x v="67"/>
    <n v="107"/>
    <n v="4"/>
    <n v="428"/>
    <s v="United States"/>
    <d v="1991-03-27T00:00:00"/>
    <n v="7"/>
    <x v="0"/>
    <x v="7"/>
    <x v="1"/>
    <x v="1"/>
    <x v="1"/>
  </r>
  <r>
    <x v="72"/>
    <s v="P.O. Box 318, 7990 Velit. Road"/>
    <x v="68"/>
    <n v="150"/>
    <n v="3"/>
    <n v="450"/>
    <s v="New Zealand"/>
    <d v="1988-01-28T00:00:00"/>
    <n v="6"/>
    <x v="0"/>
    <x v="10"/>
    <x v="1"/>
    <x v="0"/>
    <x v="1"/>
  </r>
  <r>
    <x v="73"/>
    <s v="692-4812 Aliquet Avenue"/>
    <x v="69"/>
    <n v="286"/>
    <n v="2"/>
    <n v="572"/>
    <s v="Australia"/>
    <d v="1976-10-06T00:00:00"/>
    <n v="1"/>
    <x v="0"/>
    <x v="8"/>
    <x v="0"/>
    <x v="0"/>
    <x v="1"/>
  </r>
  <r>
    <x v="74"/>
    <s v="183-5830 In, St."/>
    <x v="70"/>
    <n v="151"/>
    <n v="7"/>
    <n v="1057"/>
    <s v="Austria"/>
    <d v="1994-11-09T00:00:00"/>
    <n v="3"/>
    <x v="2"/>
    <x v="7"/>
    <x v="1"/>
    <x v="1"/>
    <x v="1"/>
  </r>
  <r>
    <x v="75"/>
    <s v="P.O. Box 174, 6258 Rutrum Avenue"/>
    <x v="71"/>
    <n v="235"/>
    <n v="7"/>
    <n v="1645"/>
    <s v="Indonesia"/>
    <d v="1973-05-13T00:00:00"/>
    <n v="5"/>
    <x v="2"/>
    <x v="2"/>
    <x v="1"/>
    <x v="0"/>
    <x v="0"/>
  </r>
  <r>
    <x v="76"/>
    <s v="Ap #332-5612 Elit. St."/>
    <x v="72"/>
    <n v="226"/>
    <n v="1"/>
    <n v="226"/>
    <s v="Indonesia"/>
    <d v="1974-03-17T00:00:00"/>
    <n v="4"/>
    <x v="3"/>
    <x v="0"/>
    <x v="0"/>
    <x v="0"/>
    <x v="1"/>
  </r>
  <r>
    <x v="77"/>
    <s v="2340 Leo. Avenue"/>
    <x v="73"/>
    <n v="68"/>
    <n v="6"/>
    <n v="408"/>
    <s v="Vietnam"/>
    <d v="1958-03-27T00:00:00"/>
    <n v="3"/>
    <x v="4"/>
    <x v="4"/>
    <x v="1"/>
    <x v="0"/>
    <x v="0"/>
  </r>
  <r>
    <x v="78"/>
    <s v="8082 Sit Rd."/>
    <x v="74"/>
    <n v="209"/>
    <n v="9"/>
    <n v="1881"/>
    <s v="Peru"/>
    <d v="1993-09-20T00:00:00"/>
    <n v="5"/>
    <x v="1"/>
    <x v="6"/>
    <x v="0"/>
    <x v="1"/>
    <x v="1"/>
  </r>
  <r>
    <x v="79"/>
    <s v="P.O. Box 328, 5467 Ultrices St."/>
    <x v="75"/>
    <n v="162"/>
    <n v="8"/>
    <n v="1296"/>
    <s v="Russian Federation"/>
    <d v="1987-01-25T00:00:00"/>
    <n v="7"/>
    <x v="1"/>
    <x v="7"/>
    <x v="0"/>
    <x v="1"/>
    <x v="1"/>
  </r>
  <r>
    <x v="80"/>
    <s v="947-3701 Convallis St."/>
    <x v="76"/>
    <n v="266"/>
    <n v="6"/>
    <n v="1596"/>
    <s v="Ireland"/>
    <d v="1960-01-16T00:00:00"/>
    <n v="5"/>
    <x v="1"/>
    <x v="10"/>
    <x v="0"/>
    <x v="1"/>
    <x v="0"/>
  </r>
  <r>
    <x v="81"/>
    <s v="Ap #469-5317 Ut, St."/>
    <x v="77"/>
    <n v="217"/>
    <n v="3"/>
    <n v="651"/>
    <s v="South Korea"/>
    <d v="1993-02-09T00:00:00"/>
    <n v="7"/>
    <x v="0"/>
    <x v="0"/>
    <x v="0"/>
    <x v="0"/>
    <x v="1"/>
  </r>
  <r>
    <x v="82"/>
    <s v="187-4613 Amet Rd."/>
    <x v="78"/>
    <n v="180"/>
    <n v="9"/>
    <n v="1620"/>
    <s v="Colombia"/>
    <d v="1967-05-20T00:00:00"/>
    <n v="4"/>
    <x v="4"/>
    <x v="0"/>
    <x v="1"/>
    <x v="1"/>
    <x v="0"/>
  </r>
  <r>
    <x v="83"/>
    <s v="Ap #829-6698 Neque St."/>
    <x v="79"/>
    <n v="268"/>
    <n v="5"/>
    <n v="1340"/>
    <s v="Belgium"/>
    <d v="1963-04-21T00:00:00"/>
    <n v="4"/>
    <x v="2"/>
    <x v="1"/>
    <x v="1"/>
    <x v="1"/>
    <x v="0"/>
  </r>
  <r>
    <x v="84"/>
    <s v="Ap #535-9361 Tincidunt. Avenue"/>
    <x v="80"/>
    <n v="99"/>
    <n v="5"/>
    <n v="495"/>
    <s v="Indonesia"/>
    <d v="1992-07-30T00:00:00"/>
    <n v="2"/>
    <x v="0"/>
    <x v="5"/>
    <x v="1"/>
    <x v="0"/>
    <x v="1"/>
  </r>
  <r>
    <x v="85"/>
    <s v="273-5901 Urna Street"/>
    <x v="81"/>
    <n v="23"/>
    <n v="5"/>
    <n v="115"/>
    <s v="Nigeria"/>
    <d v="1984-07-30T00:00:00"/>
    <n v="4"/>
    <x v="1"/>
    <x v="6"/>
    <x v="0"/>
    <x v="1"/>
    <x v="0"/>
  </r>
  <r>
    <x v="86"/>
    <s v="Ap #567-5426 Ut Road"/>
    <x v="82"/>
    <n v="275"/>
    <n v="4"/>
    <n v="1100"/>
    <s v="South Korea"/>
    <d v="1962-03-12T00:00:00"/>
    <n v="7"/>
    <x v="2"/>
    <x v="7"/>
    <x v="1"/>
    <x v="0"/>
    <x v="1"/>
  </r>
  <r>
    <x v="87"/>
    <s v="Ap #856-1109 Tellus Rd."/>
    <x v="83"/>
    <n v="232"/>
    <n v="10"/>
    <n v="2320"/>
    <s v="South Korea"/>
    <d v="1984-07-07T00:00:00"/>
    <n v="2"/>
    <x v="0"/>
    <x v="4"/>
    <x v="0"/>
    <x v="0"/>
    <x v="1"/>
  </r>
  <r>
    <x v="88"/>
    <s v="855-6620 Urna. Avenue"/>
    <x v="84"/>
    <n v="209"/>
    <n v="5"/>
    <n v="1045"/>
    <s v="Canada"/>
    <d v="1975-03-02T00:00:00"/>
    <n v="3"/>
    <x v="2"/>
    <x v="7"/>
    <x v="0"/>
    <x v="0"/>
    <x v="0"/>
  </r>
  <r>
    <x v="89"/>
    <s v="Ap #885-7363 Pede. Road"/>
    <x v="85"/>
    <n v="217"/>
    <n v="2"/>
    <n v="434"/>
    <s v="Belgium"/>
    <d v="1955-10-29T00:00:00"/>
    <n v="4"/>
    <x v="1"/>
    <x v="8"/>
    <x v="0"/>
    <x v="0"/>
    <x v="1"/>
  </r>
  <r>
    <x v="42"/>
    <s v="Ap #383-1098 Curabitur Road"/>
    <x v="86"/>
    <n v="283"/>
    <n v="5"/>
    <n v="1415"/>
    <s v="Australia"/>
    <d v="1961-08-25T00:00:00"/>
    <n v="2"/>
    <x v="2"/>
    <x v="4"/>
    <x v="1"/>
    <x v="1"/>
    <x v="1"/>
  </r>
  <r>
    <x v="90"/>
    <s v="496-5978 Tellus. St."/>
    <x v="87"/>
    <n v="163"/>
    <n v="7"/>
    <n v="1141"/>
    <s v="Vietnam"/>
    <d v="1991-02-10T00:00:00"/>
    <n v="5"/>
    <x v="0"/>
    <x v="5"/>
    <x v="0"/>
    <x v="1"/>
    <x v="1"/>
  </r>
  <r>
    <x v="91"/>
    <s v="973-2486 Tincidunt St."/>
    <x v="88"/>
    <n v="27"/>
    <n v="3"/>
    <n v="81"/>
    <s v="Russian Federation"/>
    <d v="1995-02-01T00:00:00"/>
    <n v="3"/>
    <x v="4"/>
    <x v="3"/>
    <x v="1"/>
    <x v="1"/>
    <x v="1"/>
  </r>
  <r>
    <x v="92"/>
    <s v="Ap #899-1389 Cubilia Rd."/>
    <x v="89"/>
    <n v="188"/>
    <n v="3"/>
    <n v="564"/>
    <s v="South Africa"/>
    <d v="1989-01-28T00:00:00"/>
    <n v="6"/>
    <x v="1"/>
    <x v="3"/>
    <x v="0"/>
    <x v="0"/>
    <x v="1"/>
  </r>
  <r>
    <x v="93"/>
    <s v="6823 Nascetur Rd."/>
    <x v="90"/>
    <n v="226"/>
    <n v="1"/>
    <n v="226"/>
    <s v="China"/>
    <d v="1966-12-20T00:00:00"/>
    <n v="2"/>
    <x v="1"/>
    <x v="1"/>
    <x v="0"/>
    <x v="1"/>
    <x v="1"/>
  </r>
  <r>
    <x v="94"/>
    <s v="402-1407 Metus. Street"/>
    <x v="91"/>
    <n v="207"/>
    <n v="10"/>
    <n v="2070"/>
    <s v="New Zealand"/>
    <d v="1986-11-16T00:00:00"/>
    <n v="3"/>
    <x v="0"/>
    <x v="9"/>
    <x v="0"/>
    <x v="0"/>
    <x v="0"/>
  </r>
  <r>
    <x v="95"/>
    <s v="9396 Convallis, Av."/>
    <x v="92"/>
    <n v="267"/>
    <n v="5"/>
    <n v="1335"/>
    <s v="Ireland"/>
    <d v="1966-11-17T00:00:00"/>
    <n v="7"/>
    <x v="4"/>
    <x v="6"/>
    <x v="0"/>
    <x v="0"/>
    <x v="1"/>
  </r>
  <r>
    <x v="96"/>
    <s v="447-9096 Eu, Rd."/>
    <x v="93"/>
    <n v="97"/>
    <n v="10"/>
    <n v="970"/>
    <s v="Vietnam"/>
    <d v="1955-09-30T00:00:00"/>
    <n v="6"/>
    <x v="3"/>
    <x v="3"/>
    <x v="1"/>
    <x v="0"/>
    <x v="1"/>
  </r>
  <r>
    <x v="97"/>
    <s v="P.O. Box 375, 5828 Orci St."/>
    <x v="94"/>
    <n v="189"/>
    <n v="10"/>
    <n v="1890"/>
    <s v="Austria"/>
    <d v="1989-07-13T00:00:00"/>
    <n v="1"/>
    <x v="0"/>
    <x v="0"/>
    <x v="0"/>
    <x v="1"/>
    <x v="1"/>
  </r>
  <r>
    <x v="98"/>
    <s v="P.O. Box 335, 473 Tortor St."/>
    <x v="95"/>
    <n v="179"/>
    <n v="7"/>
    <n v="1253"/>
    <s v="South Africa"/>
    <d v="1972-07-16T00:00:00"/>
    <n v="1"/>
    <x v="1"/>
    <x v="4"/>
    <x v="1"/>
    <x v="0"/>
    <x v="1"/>
  </r>
  <r>
    <x v="99"/>
    <s v="P.O. Box 295, 6026 Rutrum St."/>
    <x v="9"/>
    <n v="222"/>
    <n v="10"/>
    <n v="2220"/>
    <s v="Singapore"/>
    <d v="1994-11-11T00:00:00"/>
    <n v="3"/>
    <x v="0"/>
    <x v="6"/>
    <x v="0"/>
    <x v="1"/>
    <x v="1"/>
  </r>
  <r>
    <x v="100"/>
    <s v="Ap #900-698 Erat St."/>
    <x v="96"/>
    <n v="129"/>
    <n v="1"/>
    <n v="129"/>
    <s v="Brazil"/>
    <d v="1979-05-28T00:00:00"/>
    <n v="4"/>
    <x v="2"/>
    <x v="2"/>
    <x v="0"/>
    <x v="0"/>
    <x v="1"/>
  </r>
  <r>
    <x v="101"/>
    <s v="P.O. Box 401, 1442 Varius Street"/>
    <x v="97"/>
    <n v="35"/>
    <n v="7"/>
    <n v="245"/>
    <s v="Costa Rica"/>
    <d v="1994-11-12T00:00:00"/>
    <n v="2"/>
    <x v="2"/>
    <x v="1"/>
    <x v="1"/>
    <x v="0"/>
    <x v="0"/>
  </r>
  <r>
    <x v="102"/>
    <s v="Ap #616-6051 Hendrerit. St."/>
    <x v="98"/>
    <n v="89"/>
    <n v="9"/>
    <n v="801"/>
    <s v="Russian Federation"/>
    <d v="1957-04-09T00:00:00"/>
    <n v="1"/>
    <x v="0"/>
    <x v="2"/>
    <x v="0"/>
    <x v="0"/>
    <x v="0"/>
  </r>
  <r>
    <x v="103"/>
    <s v="P.O. Box 401, 3984 Faucibus Av."/>
    <x v="99"/>
    <n v="32"/>
    <n v="8"/>
    <n v="256"/>
    <s v="Brazil"/>
    <d v="1984-05-21T00:00:00"/>
    <n v="4"/>
    <x v="1"/>
    <x v="0"/>
    <x v="1"/>
    <x v="0"/>
    <x v="0"/>
  </r>
  <r>
    <x v="104"/>
    <s v="Ap #994-264 Sem Rd."/>
    <x v="100"/>
    <n v="49"/>
    <n v="2"/>
    <n v="98"/>
    <s v="United States"/>
    <d v="1995-08-21T00:00:00"/>
    <n v="7"/>
    <x v="1"/>
    <x v="3"/>
    <x v="1"/>
    <x v="1"/>
    <x v="1"/>
  </r>
  <r>
    <x v="41"/>
    <s v="Ap #126-9569 Mauris Ave"/>
    <x v="101"/>
    <n v="38"/>
    <n v="8"/>
    <n v="304"/>
    <s v="Peru"/>
    <d v="1956-12-28T00:00:00"/>
    <n v="1"/>
    <x v="1"/>
    <x v="3"/>
    <x v="0"/>
    <x v="0"/>
    <x v="1"/>
  </r>
  <r>
    <x v="105"/>
    <s v="5710 Ornare Avenue"/>
    <x v="102"/>
    <n v="156"/>
    <n v="8"/>
    <n v="1248"/>
    <s v="Netherlands"/>
    <d v="1987-10-11T00:00:00"/>
    <n v="7"/>
    <x v="4"/>
    <x v="3"/>
    <x v="1"/>
    <x v="1"/>
    <x v="1"/>
  </r>
  <r>
    <x v="106"/>
    <s v="P.O. Box 140, 4500 Arcu Street"/>
    <x v="103"/>
    <n v="158"/>
    <n v="4"/>
    <n v="632"/>
    <s v="Canada"/>
    <d v="1987-04-30T00:00:00"/>
    <n v="6"/>
    <x v="2"/>
    <x v="0"/>
    <x v="0"/>
    <x v="0"/>
    <x v="1"/>
  </r>
  <r>
    <x v="107"/>
    <s v="328-1038 Aliquam Rd."/>
    <x v="104"/>
    <n v="162"/>
    <n v="10"/>
    <n v="1620"/>
    <s v="Philippines"/>
    <d v="1963-09-07T00:00:00"/>
    <n v="3"/>
    <x v="0"/>
    <x v="10"/>
    <x v="0"/>
    <x v="0"/>
    <x v="1"/>
  </r>
  <r>
    <x v="108"/>
    <s v="P.O. Box 871, 2952 Cursus Av."/>
    <x v="105"/>
    <n v="142"/>
    <n v="7"/>
    <n v="994"/>
    <s v="Singapore"/>
    <d v="1980-10-24T00:00:00"/>
    <n v="2"/>
    <x v="0"/>
    <x v="9"/>
    <x v="1"/>
    <x v="1"/>
    <x v="0"/>
  </r>
  <r>
    <x v="109"/>
    <s v="890-1779 Augue Road"/>
    <x v="106"/>
    <n v="227"/>
    <n v="9"/>
    <n v="2043"/>
    <s v="Norway"/>
    <d v="1959-10-04T00:00:00"/>
    <n v="4"/>
    <x v="2"/>
    <x v="5"/>
    <x v="0"/>
    <x v="0"/>
    <x v="1"/>
  </r>
  <r>
    <x v="110"/>
    <s v="P.O. Box 188, 463 Lectus Ave"/>
    <x v="107"/>
    <n v="91"/>
    <n v="5"/>
    <n v="455"/>
    <s v="Costa Rica"/>
    <d v="1956-08-09T00:00:00"/>
    <n v="7"/>
    <x v="1"/>
    <x v="7"/>
    <x v="0"/>
    <x v="1"/>
    <x v="0"/>
  </r>
  <r>
    <x v="111"/>
    <s v="351-5197 Donec Avenue"/>
    <x v="108"/>
    <n v="99"/>
    <n v="5"/>
    <n v="495"/>
    <s v="Philippines"/>
    <d v="1992-04-23T00:00:00"/>
    <n v="3"/>
    <x v="0"/>
    <x v="0"/>
    <x v="0"/>
    <x v="1"/>
    <x v="1"/>
  </r>
  <r>
    <x v="112"/>
    <s v="Ap #146-5874 Enim Rd."/>
    <x v="109"/>
    <n v="25"/>
    <n v="4"/>
    <n v="100"/>
    <s v="Brazil"/>
    <d v="1956-10-10T00:00:00"/>
    <n v="2"/>
    <x v="2"/>
    <x v="8"/>
    <x v="0"/>
    <x v="0"/>
    <x v="1"/>
  </r>
  <r>
    <x v="113"/>
    <s v="Ap #843-849 Augue St."/>
    <x v="110"/>
    <n v="250"/>
    <n v="5"/>
    <n v="1250"/>
    <s v="United States"/>
    <d v="1957-02-24T00:00:00"/>
    <n v="2"/>
    <x v="1"/>
    <x v="2"/>
    <x v="0"/>
    <x v="1"/>
    <x v="0"/>
  </r>
  <r>
    <x v="114"/>
    <s v="628-5064 Non Avenue"/>
    <x v="111"/>
    <n v="24"/>
    <n v="9"/>
    <n v="216"/>
    <s v="New Zealand"/>
    <d v="1963-12-11T00:00:00"/>
    <n v="5"/>
    <x v="3"/>
    <x v="10"/>
    <x v="0"/>
    <x v="0"/>
    <x v="1"/>
  </r>
  <r>
    <x v="115"/>
    <s v="546 Facilisis Rd."/>
    <x v="112"/>
    <n v="229"/>
    <n v="8"/>
    <n v="1832"/>
    <s v="Germany"/>
    <d v="1994-12-26T00:00:00"/>
    <n v="4"/>
    <x v="1"/>
    <x v="0"/>
    <x v="1"/>
    <x v="0"/>
    <x v="1"/>
  </r>
  <r>
    <x v="116"/>
    <s v="959-7239 Eu Av."/>
    <x v="113"/>
    <n v="30"/>
    <n v="4"/>
    <n v="120"/>
    <s v="Vietnam"/>
    <d v="1991-05-17T00:00:00"/>
    <n v="3"/>
    <x v="3"/>
    <x v="5"/>
    <x v="0"/>
    <x v="1"/>
    <x v="1"/>
  </r>
  <r>
    <x v="117"/>
    <s v="P.O. Box 676, 4733 Mauris. Street"/>
    <x v="114"/>
    <n v="187"/>
    <n v="4"/>
    <n v="748"/>
    <s v="Canada"/>
    <d v="1990-01-29T00:00:00"/>
    <n v="4"/>
    <x v="4"/>
    <x v="6"/>
    <x v="0"/>
    <x v="0"/>
    <x v="0"/>
  </r>
  <r>
    <x v="118"/>
    <s v="382 At Av."/>
    <x v="115"/>
    <n v="276"/>
    <n v="10"/>
    <n v="2760"/>
    <s v="Colombia"/>
    <d v="1956-07-05T00:00:00"/>
    <n v="6"/>
    <x v="1"/>
    <x v="3"/>
    <x v="0"/>
    <x v="0"/>
    <x v="0"/>
  </r>
  <r>
    <x v="119"/>
    <s v="P.O. Box 199, 9620 Nullam Avenue"/>
    <x v="116"/>
    <n v="156"/>
    <n v="1"/>
    <n v="156"/>
    <s v="Peru"/>
    <d v="1971-11-03T00:00:00"/>
    <n v="5"/>
    <x v="4"/>
    <x v="0"/>
    <x v="0"/>
    <x v="0"/>
    <x v="1"/>
  </r>
  <r>
    <x v="120"/>
    <s v="7128 In, Ave"/>
    <x v="117"/>
    <n v="158"/>
    <n v="6"/>
    <n v="948"/>
    <s v="Sweden"/>
    <d v="1976-05-28T00:00:00"/>
    <n v="4"/>
    <x v="1"/>
    <x v="1"/>
    <x v="0"/>
    <x v="0"/>
    <x v="1"/>
  </r>
  <r>
    <x v="121"/>
    <s v="Ap #268-111 Scelerisque St."/>
    <x v="118"/>
    <n v="161"/>
    <n v="2"/>
    <n v="322"/>
    <s v="Colombia"/>
    <d v="1961-12-29T00:00:00"/>
    <n v="4"/>
    <x v="2"/>
    <x v="9"/>
    <x v="0"/>
    <x v="0"/>
    <x v="1"/>
  </r>
  <r>
    <x v="122"/>
    <s v="606-1073 Integer Rd."/>
    <x v="119"/>
    <n v="29"/>
    <n v="10"/>
    <n v="290"/>
    <s v="Turkey"/>
    <d v="1990-10-20T00:00:00"/>
    <n v="4"/>
    <x v="4"/>
    <x v="8"/>
    <x v="1"/>
    <x v="0"/>
    <x v="1"/>
  </r>
  <r>
    <x v="123"/>
    <s v="Ap #725-9500 Cum Street"/>
    <x v="120"/>
    <n v="169"/>
    <n v="1"/>
    <n v="169"/>
    <s v="Netherlands"/>
    <d v="1979-03-07T00:00:00"/>
    <n v="6"/>
    <x v="3"/>
    <x v="1"/>
    <x v="1"/>
    <x v="1"/>
    <x v="0"/>
  </r>
  <r>
    <x v="124"/>
    <s v="Ap #290-5439 Arcu. Street"/>
    <x v="121"/>
    <n v="278"/>
    <n v="1"/>
    <n v="278"/>
    <s v="Russian Federation"/>
    <d v="1990-12-04T00:00:00"/>
    <n v="4"/>
    <x v="0"/>
    <x v="3"/>
    <x v="1"/>
    <x v="0"/>
    <x v="0"/>
  </r>
  <r>
    <x v="125"/>
    <s v="Ap #703-3573 Mauris Street"/>
    <x v="122"/>
    <n v="275"/>
    <n v="4"/>
    <n v="1100"/>
    <s v="Mexico"/>
    <d v="1980-01-25T00:00:00"/>
    <n v="5"/>
    <x v="2"/>
    <x v="8"/>
    <x v="0"/>
    <x v="0"/>
    <x v="0"/>
  </r>
  <r>
    <x v="126"/>
    <s v="Ap #423-7312 Venenatis Street"/>
    <x v="123"/>
    <n v="165"/>
    <n v="3"/>
    <n v="495"/>
    <s v="Norway"/>
    <d v="1957-04-07T00:00:00"/>
    <n v="6"/>
    <x v="2"/>
    <x v="0"/>
    <x v="0"/>
    <x v="0"/>
    <x v="0"/>
  </r>
  <r>
    <x v="127"/>
    <s v="Ap #319-1152 Diam. Av."/>
    <x v="124"/>
    <n v="183"/>
    <n v="4"/>
    <n v="732"/>
    <s v="Poland"/>
    <d v="1995-03-12T00:00:00"/>
    <n v="5"/>
    <x v="3"/>
    <x v="0"/>
    <x v="0"/>
    <x v="0"/>
    <x v="0"/>
  </r>
  <r>
    <x v="128"/>
    <s v="Ap #986-5608 Nonummy Ave"/>
    <x v="125"/>
    <n v="278"/>
    <n v="3"/>
    <n v="834"/>
    <s v="Singapore"/>
    <d v="1974-11-20T00:00:00"/>
    <n v="1"/>
    <x v="4"/>
    <x v="5"/>
    <x v="0"/>
    <x v="0"/>
    <x v="0"/>
  </r>
  <r>
    <x v="129"/>
    <s v="Ap #589-8863 Id Rd."/>
    <x v="126"/>
    <n v="61"/>
    <n v="9"/>
    <n v="549"/>
    <s v="Australia"/>
    <d v="1971-10-19T00:00:00"/>
    <n v="5"/>
    <x v="1"/>
    <x v="7"/>
    <x v="0"/>
    <x v="0"/>
    <x v="0"/>
  </r>
  <r>
    <x v="130"/>
    <s v="985-197 Dignissim Rd."/>
    <x v="127"/>
    <n v="247"/>
    <n v="10"/>
    <n v="2470"/>
    <s v="Ireland"/>
    <d v="1984-06-06T00:00:00"/>
    <n v="2"/>
    <x v="4"/>
    <x v="4"/>
    <x v="1"/>
    <x v="1"/>
    <x v="1"/>
  </r>
  <r>
    <x v="131"/>
    <s v="Ap #641-449 Morbi Street"/>
    <x v="128"/>
    <n v="57"/>
    <n v="3"/>
    <n v="171"/>
    <s v="Ukraine"/>
    <d v="1977-11-07T00:00:00"/>
    <n v="3"/>
    <x v="4"/>
    <x v="10"/>
    <x v="0"/>
    <x v="1"/>
    <x v="0"/>
  </r>
  <r>
    <x v="132"/>
    <s v="P.O. Box 719, 6571 Felis, St."/>
    <x v="129"/>
    <n v="54"/>
    <n v="1"/>
    <n v="54"/>
    <s v="Russian Federation"/>
    <d v="1961-05-31T00:00:00"/>
    <n v="5"/>
    <x v="4"/>
    <x v="7"/>
    <x v="1"/>
    <x v="1"/>
    <x v="0"/>
  </r>
  <r>
    <x v="133"/>
    <s v="Ap #109-3545 Diam. Avenue"/>
    <x v="130"/>
    <n v="246"/>
    <n v="3"/>
    <n v="738"/>
    <s v="Turkey"/>
    <d v="1957-05-03T00:00:00"/>
    <n v="7"/>
    <x v="2"/>
    <x v="3"/>
    <x v="0"/>
    <x v="0"/>
    <x v="1"/>
  </r>
  <r>
    <x v="134"/>
    <s v="P.O. Box 701, 5573 Ultricies Av."/>
    <x v="131"/>
    <n v="139"/>
    <n v="4"/>
    <n v="556"/>
    <s v="United States"/>
    <d v="1966-12-15T00:00:00"/>
    <n v="1"/>
    <x v="4"/>
    <x v="10"/>
    <x v="0"/>
    <x v="0"/>
    <x v="1"/>
  </r>
  <r>
    <x v="135"/>
    <s v="996-3985 Ut Avenue"/>
    <x v="132"/>
    <n v="245"/>
    <n v="6"/>
    <n v="1470"/>
    <s v="South Korea"/>
    <d v="1990-03-03T00:00:00"/>
    <n v="1"/>
    <x v="1"/>
    <x v="4"/>
    <x v="1"/>
    <x v="0"/>
    <x v="0"/>
  </r>
  <r>
    <x v="136"/>
    <s v="Ap #229-1568 Rutrum Ave"/>
    <x v="133"/>
    <n v="291"/>
    <n v="2"/>
    <n v="582"/>
    <s v="Ukraine"/>
    <d v="1955-04-18T00:00:00"/>
    <n v="4"/>
    <x v="3"/>
    <x v="7"/>
    <x v="0"/>
    <x v="0"/>
    <x v="1"/>
  </r>
  <r>
    <x v="137"/>
    <s v="850-7934 Libero. Av."/>
    <x v="134"/>
    <n v="284"/>
    <n v="5"/>
    <n v="1420"/>
    <s v="Turkey"/>
    <d v="1993-11-10T00:00:00"/>
    <n v="3"/>
    <x v="2"/>
    <x v="1"/>
    <x v="0"/>
    <x v="0"/>
    <x v="0"/>
  </r>
  <r>
    <x v="138"/>
    <s v="348-1469 Risus. Street"/>
    <x v="135"/>
    <n v="285"/>
    <n v="5"/>
    <n v="1425"/>
    <s v="Nigeria"/>
    <d v="1960-02-15T00:00:00"/>
    <n v="7"/>
    <x v="0"/>
    <x v="5"/>
    <x v="0"/>
    <x v="1"/>
    <x v="1"/>
  </r>
  <r>
    <x v="139"/>
    <s v="4205 Sem. St."/>
    <x v="136"/>
    <n v="197"/>
    <n v="6"/>
    <n v="1182"/>
    <s v="Indonesia"/>
    <d v="1968-01-15T00:00:00"/>
    <n v="7"/>
    <x v="4"/>
    <x v="4"/>
    <x v="1"/>
    <x v="0"/>
    <x v="1"/>
  </r>
  <r>
    <x v="140"/>
    <s v="706-1891 Sapien. Street"/>
    <x v="137"/>
    <n v="234"/>
    <n v="6"/>
    <n v="1404"/>
    <s v="Pakistan"/>
    <d v="1955-01-25T00:00:00"/>
    <n v="5"/>
    <x v="4"/>
    <x v="1"/>
    <x v="1"/>
    <x v="1"/>
    <x v="0"/>
  </r>
  <r>
    <x v="141"/>
    <s v="P.O. Box 523, 2555 Etiam Street"/>
    <x v="138"/>
    <n v="270"/>
    <n v="10"/>
    <n v="2700"/>
    <s v="Russian Federation"/>
    <d v="1976-06-13T00:00:00"/>
    <n v="3"/>
    <x v="3"/>
    <x v="9"/>
    <x v="0"/>
    <x v="0"/>
    <x v="1"/>
  </r>
  <r>
    <x v="142"/>
    <s v="P.O. Box 270, 9685 Ultrices Av."/>
    <x v="139"/>
    <n v="56"/>
    <n v="2"/>
    <n v="112"/>
    <s v="Singapore"/>
    <d v="1991-06-07T00:00:00"/>
    <n v="7"/>
    <x v="2"/>
    <x v="1"/>
    <x v="0"/>
    <x v="0"/>
    <x v="0"/>
  </r>
  <r>
    <x v="143"/>
    <s v="P.O. Box 255, 8499 Euismod Rd."/>
    <x v="140"/>
    <n v="210"/>
    <n v="5"/>
    <n v="1050"/>
    <s v="Norway"/>
    <d v="1960-04-27T00:00:00"/>
    <n v="5"/>
    <x v="3"/>
    <x v="10"/>
    <x v="0"/>
    <x v="1"/>
    <x v="0"/>
  </r>
  <r>
    <x v="144"/>
    <s v="578-569 Ut Rd."/>
    <x v="141"/>
    <n v="251"/>
    <n v="8"/>
    <n v="2008"/>
    <s v="South Africa"/>
    <d v="1978-08-14T00:00:00"/>
    <n v="5"/>
    <x v="3"/>
    <x v="3"/>
    <x v="0"/>
    <x v="0"/>
    <x v="1"/>
  </r>
  <r>
    <x v="145"/>
    <s v="P.O. Box 107, 4678 Libero Rd."/>
    <x v="142"/>
    <n v="296"/>
    <n v="9"/>
    <n v="2664"/>
    <s v="Germany"/>
    <d v="1958-06-02T00:00:00"/>
    <n v="1"/>
    <x v="2"/>
    <x v="10"/>
    <x v="1"/>
    <x v="0"/>
    <x v="0"/>
  </r>
  <r>
    <x v="146"/>
    <s v="534-3131 Purus. Av."/>
    <x v="143"/>
    <n v="50"/>
    <n v="8"/>
    <n v="400"/>
    <s v="Turkey"/>
    <d v="1970-09-02T00:00:00"/>
    <n v="3"/>
    <x v="4"/>
    <x v="2"/>
    <x v="1"/>
    <x v="0"/>
    <x v="0"/>
  </r>
  <r>
    <x v="147"/>
    <s v="Ap #639-2928 A Av."/>
    <x v="144"/>
    <n v="105"/>
    <n v="4"/>
    <n v="420"/>
    <s v="Netherlands"/>
    <d v="1995-03-03T00:00:00"/>
    <n v="1"/>
    <x v="3"/>
    <x v="2"/>
    <x v="1"/>
    <x v="1"/>
    <x v="1"/>
  </r>
  <r>
    <x v="148"/>
    <s v="727-3830 Nunc Rd."/>
    <x v="145"/>
    <n v="42"/>
    <n v="10"/>
    <n v="420"/>
    <s v="Belgium"/>
    <d v="1972-02-01T00:00:00"/>
    <n v="1"/>
    <x v="2"/>
    <x v="3"/>
    <x v="1"/>
    <x v="1"/>
    <x v="1"/>
  </r>
  <r>
    <x v="149"/>
    <s v="P.O. Box 870, 2648 Dignissim St."/>
    <x v="146"/>
    <n v="300"/>
    <n v="1"/>
    <n v="300"/>
    <s v="Singapore"/>
    <d v="1982-10-10T00:00:00"/>
    <n v="4"/>
    <x v="4"/>
    <x v="2"/>
    <x v="1"/>
    <x v="0"/>
    <x v="0"/>
  </r>
  <r>
    <x v="150"/>
    <s v="757-8133 Auctor Avenue"/>
    <x v="147"/>
    <n v="133"/>
    <n v="8"/>
    <n v="1064"/>
    <s v="France"/>
    <d v="1992-07-24T00:00:00"/>
    <n v="3"/>
    <x v="0"/>
    <x v="4"/>
    <x v="1"/>
    <x v="0"/>
    <x v="1"/>
  </r>
  <r>
    <x v="151"/>
    <s v="1635 Ornare Street"/>
    <x v="148"/>
    <n v="230"/>
    <n v="10"/>
    <n v="2300"/>
    <s v="Chile"/>
    <d v="1993-09-07T00:00:00"/>
    <n v="3"/>
    <x v="3"/>
    <x v="10"/>
    <x v="1"/>
    <x v="0"/>
    <x v="1"/>
  </r>
  <r>
    <x v="152"/>
    <s v="Ap #398-3787 Mauris Rd."/>
    <x v="149"/>
    <n v="195"/>
    <n v="4"/>
    <n v="780"/>
    <s v="Norway"/>
    <d v="1977-01-17T00:00:00"/>
    <n v="2"/>
    <x v="3"/>
    <x v="3"/>
    <x v="0"/>
    <x v="0"/>
    <x v="1"/>
  </r>
  <r>
    <x v="153"/>
    <s v="312-407 Sit Rd."/>
    <x v="150"/>
    <n v="51"/>
    <n v="4"/>
    <n v="204"/>
    <s v="Poland"/>
    <d v="1960-02-04T00:00:00"/>
    <n v="1"/>
    <x v="4"/>
    <x v="6"/>
    <x v="1"/>
    <x v="1"/>
    <x v="0"/>
  </r>
  <r>
    <x v="154"/>
    <s v="3679 Bibendum Road"/>
    <x v="151"/>
    <n v="116"/>
    <n v="7"/>
    <n v="812"/>
    <s v="Russian Federation"/>
    <d v="1960-11-26T00:00:00"/>
    <n v="5"/>
    <x v="2"/>
    <x v="8"/>
    <x v="1"/>
    <x v="1"/>
    <x v="1"/>
  </r>
  <r>
    <x v="155"/>
    <s v="497-4992 Orci. Road"/>
    <x v="152"/>
    <n v="258"/>
    <n v="10"/>
    <n v="2580"/>
    <s v="Nigeria"/>
    <d v="1970-03-12T00:00:00"/>
    <n v="4"/>
    <x v="2"/>
    <x v="6"/>
    <x v="0"/>
    <x v="1"/>
    <x v="1"/>
  </r>
  <r>
    <x v="156"/>
    <s v="577-7529 Scelerisque, Ave"/>
    <x v="153"/>
    <n v="169"/>
    <n v="2"/>
    <n v="338"/>
    <s v="Singapore"/>
    <d v="1985-09-11T00:00:00"/>
    <n v="4"/>
    <x v="2"/>
    <x v="7"/>
    <x v="0"/>
    <x v="1"/>
    <x v="0"/>
  </r>
  <r>
    <x v="157"/>
    <s v="104-8476 Aliquam Av."/>
    <x v="154"/>
    <n v="296"/>
    <n v="1"/>
    <n v="296"/>
    <s v="Vietnam"/>
    <d v="1984-06-21T00:00:00"/>
    <n v="6"/>
    <x v="3"/>
    <x v="4"/>
    <x v="1"/>
    <x v="1"/>
    <x v="1"/>
  </r>
  <r>
    <x v="158"/>
    <s v="962-5985 Nam Ave"/>
    <x v="155"/>
    <n v="125"/>
    <n v="7"/>
    <n v="875"/>
    <s v="Australia"/>
    <d v="1984-09-04T00:00:00"/>
    <n v="2"/>
    <x v="1"/>
    <x v="2"/>
    <x v="0"/>
    <x v="1"/>
    <x v="0"/>
  </r>
  <r>
    <x v="159"/>
    <s v="Ap #719-4908 Felis Rd."/>
    <x v="156"/>
    <n v="125"/>
    <n v="2"/>
    <n v="250"/>
    <s v="Canada"/>
    <d v="1956-06-17T00:00:00"/>
    <n v="6"/>
    <x v="3"/>
    <x v="0"/>
    <x v="1"/>
    <x v="1"/>
    <x v="0"/>
  </r>
  <r>
    <x v="160"/>
    <s v="747-3083 Ante Rd."/>
    <x v="157"/>
    <n v="118"/>
    <n v="1"/>
    <n v="118"/>
    <s v="Norway"/>
    <d v="1972-10-27T00:00:00"/>
    <n v="2"/>
    <x v="3"/>
    <x v="9"/>
    <x v="0"/>
    <x v="0"/>
    <x v="0"/>
  </r>
  <r>
    <x v="161"/>
    <s v="Ap #581-6611 In Av."/>
    <x v="158"/>
    <n v="166"/>
    <n v="3"/>
    <n v="498"/>
    <s v="Italy"/>
    <d v="1984-10-05T00:00:00"/>
    <n v="7"/>
    <x v="1"/>
    <x v="3"/>
    <x v="0"/>
    <x v="1"/>
    <x v="0"/>
  </r>
  <r>
    <x v="82"/>
    <s v="827-1481 Imperdiet Ave"/>
    <x v="159"/>
    <n v="35"/>
    <n v="3"/>
    <n v="105"/>
    <s v="France"/>
    <d v="1963-06-24T00:00:00"/>
    <n v="4"/>
    <x v="3"/>
    <x v="1"/>
    <x v="1"/>
    <x v="1"/>
    <x v="0"/>
  </r>
  <r>
    <x v="162"/>
    <s v="458-4726 Curabitur Rd."/>
    <x v="160"/>
    <n v="92"/>
    <n v="6"/>
    <n v="552"/>
    <s v="Indonesia"/>
    <d v="1991-02-16T00:00:00"/>
    <n v="7"/>
    <x v="1"/>
    <x v="9"/>
    <x v="0"/>
    <x v="0"/>
    <x v="0"/>
  </r>
  <r>
    <x v="163"/>
    <s v="P.O. Box 243, 6469 Nonummy Street"/>
    <x v="161"/>
    <n v="236"/>
    <n v="10"/>
    <n v="2360"/>
    <s v="Vietnam"/>
    <d v="1972-06-24T00:00:00"/>
    <n v="6"/>
    <x v="0"/>
    <x v="7"/>
    <x v="1"/>
    <x v="0"/>
    <x v="0"/>
  </r>
  <r>
    <x v="164"/>
    <s v="264-4714 In, Road"/>
    <x v="162"/>
    <n v="201"/>
    <n v="10"/>
    <n v="2010"/>
    <s v="Vietnam"/>
    <d v="1962-06-06T00:00:00"/>
    <n v="2"/>
    <x v="2"/>
    <x v="1"/>
    <x v="1"/>
    <x v="1"/>
    <x v="0"/>
  </r>
  <r>
    <x v="93"/>
    <s v="P.O. Box 979, 2580 Arcu. Avenue"/>
    <x v="163"/>
    <n v="192"/>
    <n v="9"/>
    <n v="1728"/>
    <s v="Colombia"/>
    <d v="1991-12-30T00:00:00"/>
    <n v="2"/>
    <x v="1"/>
    <x v="5"/>
    <x v="0"/>
    <x v="0"/>
    <x v="1"/>
  </r>
  <r>
    <x v="165"/>
    <s v="Ap #248-3351 Placerat, Street"/>
    <x v="164"/>
    <n v="51"/>
    <n v="8"/>
    <n v="408"/>
    <s v="Italy"/>
    <d v="1962-02-11T00:00:00"/>
    <n v="1"/>
    <x v="4"/>
    <x v="2"/>
    <x v="1"/>
    <x v="1"/>
    <x v="0"/>
  </r>
  <r>
    <x v="166"/>
    <s v="Ap #207-6900 Non St."/>
    <x v="82"/>
    <n v="233"/>
    <n v="1"/>
    <n v="233"/>
    <s v="South Korea"/>
    <d v="1959-09-08T00:00:00"/>
    <n v="4"/>
    <x v="4"/>
    <x v="7"/>
    <x v="1"/>
    <x v="0"/>
    <x v="1"/>
  </r>
  <r>
    <x v="167"/>
    <s v="P.O. Box 305, 6095 Ornare Av."/>
    <x v="165"/>
    <n v="107"/>
    <n v="9"/>
    <n v="963"/>
    <s v="Singapore"/>
    <d v="1990-10-12T00:00:00"/>
    <n v="4"/>
    <x v="3"/>
    <x v="0"/>
    <x v="0"/>
    <x v="0"/>
    <x v="0"/>
  </r>
  <r>
    <x v="168"/>
    <s v="P.O. Box 252, 3151 Nisl. Road"/>
    <x v="166"/>
    <n v="96"/>
    <n v="2"/>
    <n v="192"/>
    <s v="France"/>
    <d v="1986-07-22T00:00:00"/>
    <n v="5"/>
    <x v="1"/>
    <x v="0"/>
    <x v="0"/>
    <x v="1"/>
    <x v="0"/>
  </r>
  <r>
    <x v="169"/>
    <s v="Ap #888-4624 Nunc St."/>
    <x v="167"/>
    <n v="190"/>
    <n v="7"/>
    <n v="1330"/>
    <s v="Netherlands"/>
    <d v="1977-05-10T00:00:00"/>
    <n v="5"/>
    <x v="4"/>
    <x v="3"/>
    <x v="1"/>
    <x v="0"/>
    <x v="0"/>
  </r>
  <r>
    <x v="170"/>
    <s v="Ap #868-589 Facilisis. Avenue"/>
    <x v="168"/>
    <n v="245"/>
    <n v="3"/>
    <n v="735"/>
    <s v="Brazil"/>
    <d v="1977-12-19T00:00:00"/>
    <n v="1"/>
    <x v="0"/>
    <x v="8"/>
    <x v="0"/>
    <x v="1"/>
    <x v="1"/>
  </r>
  <r>
    <x v="171"/>
    <s v="905-2891 Facilisis. Road"/>
    <x v="169"/>
    <n v="233"/>
    <n v="9"/>
    <n v="2097"/>
    <s v="New Zealand"/>
    <d v="1955-01-25T00:00:00"/>
    <n v="3"/>
    <x v="0"/>
    <x v="0"/>
    <x v="0"/>
    <x v="1"/>
    <x v="0"/>
  </r>
  <r>
    <x v="172"/>
    <s v="Ap #163-847 Feugiat Street"/>
    <x v="170"/>
    <n v="279"/>
    <n v="5"/>
    <n v="1395"/>
    <s v="South Korea"/>
    <d v="1974-03-30T00:00:00"/>
    <n v="4"/>
    <x v="2"/>
    <x v="0"/>
    <x v="0"/>
    <x v="0"/>
    <x v="1"/>
  </r>
  <r>
    <x v="173"/>
    <s v="8468 Sed Ave"/>
    <x v="171"/>
    <n v="252"/>
    <n v="9"/>
    <n v="2268"/>
    <s v="Ireland"/>
    <d v="1973-01-31T00:00:00"/>
    <n v="3"/>
    <x v="3"/>
    <x v="6"/>
    <x v="1"/>
    <x v="1"/>
    <x v="0"/>
  </r>
  <r>
    <x v="174"/>
    <s v="P.O. Box 288, 3442 Vestibulum, Rd."/>
    <x v="172"/>
    <n v="281"/>
    <n v="2"/>
    <n v="562"/>
    <s v="Peru"/>
    <d v="1985-07-16T00:00:00"/>
    <n v="2"/>
    <x v="2"/>
    <x v="1"/>
    <x v="0"/>
    <x v="1"/>
    <x v="0"/>
  </r>
  <r>
    <x v="175"/>
    <s v="303-3788 Metus Avenue"/>
    <x v="173"/>
    <n v="97"/>
    <n v="2"/>
    <n v="194"/>
    <s v="Singapore"/>
    <d v="1991-01-05T00:00:00"/>
    <n v="4"/>
    <x v="0"/>
    <x v="3"/>
    <x v="0"/>
    <x v="0"/>
    <x v="0"/>
  </r>
  <r>
    <x v="176"/>
    <s v="484-9937 Dolor Rd."/>
    <x v="174"/>
    <n v="81"/>
    <n v="6"/>
    <n v="486"/>
    <s v="Nigeria"/>
    <d v="1977-01-22T00:00:00"/>
    <n v="7"/>
    <x v="0"/>
    <x v="2"/>
    <x v="1"/>
    <x v="0"/>
    <x v="1"/>
  </r>
  <r>
    <x v="177"/>
    <s v="675-7444 Sodales Street"/>
    <x v="175"/>
    <n v="147"/>
    <n v="8"/>
    <n v="1176"/>
    <s v="Pakistan"/>
    <d v="1965-08-02T00:00:00"/>
    <n v="1"/>
    <x v="0"/>
    <x v="3"/>
    <x v="0"/>
    <x v="1"/>
    <x v="0"/>
  </r>
  <r>
    <x v="178"/>
    <s v="Ap #935-5272 Est, Rd."/>
    <x v="176"/>
    <n v="182"/>
    <n v="9"/>
    <n v="1638"/>
    <s v="China"/>
    <d v="1991-04-27T00:00:00"/>
    <n v="6"/>
    <x v="2"/>
    <x v="2"/>
    <x v="1"/>
    <x v="0"/>
    <x v="0"/>
  </r>
  <r>
    <x v="179"/>
    <s v="762-1781 Phasellus Road"/>
    <x v="177"/>
    <n v="152"/>
    <n v="2"/>
    <n v="304"/>
    <s v="Spain"/>
    <d v="1986-02-28T00:00:00"/>
    <n v="4"/>
    <x v="3"/>
    <x v="7"/>
    <x v="1"/>
    <x v="0"/>
    <x v="0"/>
  </r>
  <r>
    <x v="180"/>
    <s v="P.O. Box 372, 7944 Dolor St."/>
    <x v="178"/>
    <n v="75"/>
    <n v="9"/>
    <n v="675"/>
    <s v="Colombia"/>
    <d v="1980-07-18T00:00:00"/>
    <n v="1"/>
    <x v="4"/>
    <x v="8"/>
    <x v="1"/>
    <x v="0"/>
    <x v="0"/>
  </r>
  <r>
    <x v="181"/>
    <s v="653-8312 Sed Ave"/>
    <x v="179"/>
    <n v="35"/>
    <n v="5"/>
    <n v="175"/>
    <s v="Spain"/>
    <d v="1993-05-16T00:00:00"/>
    <n v="4"/>
    <x v="0"/>
    <x v="3"/>
    <x v="1"/>
    <x v="1"/>
    <x v="0"/>
  </r>
  <r>
    <x v="182"/>
    <s v="150-8415 Aenean Avenue"/>
    <x v="180"/>
    <n v="144"/>
    <n v="7"/>
    <n v="1008"/>
    <s v="United States"/>
    <d v="1975-02-22T00:00:00"/>
    <n v="3"/>
    <x v="3"/>
    <x v="1"/>
    <x v="1"/>
    <x v="0"/>
    <x v="0"/>
  </r>
  <r>
    <x v="183"/>
    <s v="Ap #469-2768 Cubilia Avenue"/>
    <x v="181"/>
    <n v="297"/>
    <n v="2"/>
    <n v="594"/>
    <s v="Philippines"/>
    <d v="1969-04-05T00:00:00"/>
    <n v="6"/>
    <x v="4"/>
    <x v="5"/>
    <x v="1"/>
    <x v="0"/>
    <x v="0"/>
  </r>
  <r>
    <x v="184"/>
    <s v="523 Vitae, Street"/>
    <x v="182"/>
    <n v="80"/>
    <n v="2"/>
    <n v="160"/>
    <s v="Peru"/>
    <d v="1968-06-22T00:00:00"/>
    <n v="6"/>
    <x v="0"/>
    <x v="8"/>
    <x v="1"/>
    <x v="1"/>
    <x v="1"/>
  </r>
  <r>
    <x v="185"/>
    <s v="3486 Accumsan Rd."/>
    <x v="183"/>
    <n v="62"/>
    <n v="1"/>
    <n v="62"/>
    <s v="New Zealand"/>
    <d v="1972-06-01T00:00:00"/>
    <n v="7"/>
    <x v="1"/>
    <x v="0"/>
    <x v="1"/>
    <x v="0"/>
    <x v="1"/>
  </r>
  <r>
    <x v="186"/>
    <s v="P.O. Box 757, 8487 Sem, Rd."/>
    <x v="184"/>
    <n v="87"/>
    <n v="9"/>
    <n v="783"/>
    <s v="United States"/>
    <d v="1983-05-27T00:00:00"/>
    <n v="5"/>
    <x v="0"/>
    <x v="1"/>
    <x v="0"/>
    <x v="1"/>
    <x v="1"/>
  </r>
  <r>
    <x v="187"/>
    <s v="P.O. Box 854, 6994 Tempor Ave"/>
    <x v="185"/>
    <n v="20"/>
    <n v="5"/>
    <n v="100"/>
    <s v="India"/>
    <d v="1974-04-05T00:00:00"/>
    <n v="4"/>
    <x v="0"/>
    <x v="9"/>
    <x v="1"/>
    <x v="1"/>
    <x v="1"/>
  </r>
  <r>
    <x v="24"/>
    <s v="P.O. Box 653, 9969 Facilisis Road"/>
    <x v="186"/>
    <n v="103"/>
    <n v="4"/>
    <n v="412"/>
    <s v="Norway"/>
    <d v="1967-01-05T00:00:00"/>
    <n v="2"/>
    <x v="1"/>
    <x v="2"/>
    <x v="0"/>
    <x v="1"/>
    <x v="0"/>
  </r>
  <r>
    <x v="188"/>
    <s v="Ap #593-6438 Lectus. Avenue"/>
    <x v="187"/>
    <n v="279"/>
    <n v="8"/>
    <n v="2232"/>
    <s v="Germany"/>
    <d v="1963-03-16T00:00:00"/>
    <n v="5"/>
    <x v="2"/>
    <x v="7"/>
    <x v="1"/>
    <x v="1"/>
    <x v="0"/>
  </r>
  <r>
    <x v="189"/>
    <s v="4283 Interdum Avenue"/>
    <x v="188"/>
    <n v="122"/>
    <n v="1"/>
    <n v="122"/>
    <s v="Sweden"/>
    <d v="1987-10-24T00:00:00"/>
    <n v="2"/>
    <x v="0"/>
    <x v="8"/>
    <x v="1"/>
    <x v="1"/>
    <x v="0"/>
  </r>
  <r>
    <x v="190"/>
    <s v="Ap #439-9950 Dolor Avenue"/>
    <x v="189"/>
    <n v="181"/>
    <n v="8"/>
    <n v="1448"/>
    <s v="Netherlands"/>
    <d v="1977-01-28T00:00:00"/>
    <n v="4"/>
    <x v="0"/>
    <x v="6"/>
    <x v="1"/>
    <x v="1"/>
    <x v="1"/>
  </r>
  <r>
    <x v="191"/>
    <s v="460-4067 Pharetra. St."/>
    <x v="190"/>
    <n v="139"/>
    <n v="3"/>
    <n v="417"/>
    <s v="Poland"/>
    <d v="1977-03-02T00:00:00"/>
    <n v="2"/>
    <x v="1"/>
    <x v="6"/>
    <x v="0"/>
    <x v="1"/>
    <x v="0"/>
  </r>
  <r>
    <x v="192"/>
    <s v="Ap #551-3991 Suscipit St."/>
    <x v="191"/>
    <n v="239"/>
    <n v="7"/>
    <n v="1673"/>
    <s v="Brazil"/>
    <d v="1986-01-04T00:00:00"/>
    <n v="6"/>
    <x v="0"/>
    <x v="3"/>
    <x v="1"/>
    <x v="1"/>
    <x v="1"/>
  </r>
  <r>
    <x v="193"/>
    <s v="Ap #411-8457 Ut, Avenue"/>
    <x v="192"/>
    <n v="281"/>
    <n v="4"/>
    <n v="1124"/>
    <s v="Mexico"/>
    <d v="1974-08-26T00:00:00"/>
    <n v="1"/>
    <x v="0"/>
    <x v="7"/>
    <x v="0"/>
    <x v="0"/>
    <x v="0"/>
  </r>
  <r>
    <x v="194"/>
    <s v="Ap #585-9457 Ac Street"/>
    <x v="193"/>
    <n v="239"/>
    <n v="3"/>
    <n v="717"/>
    <s v="Sweden"/>
    <d v="1967-06-07T00:00:00"/>
    <n v="4"/>
    <x v="0"/>
    <x v="8"/>
    <x v="1"/>
    <x v="1"/>
    <x v="0"/>
  </r>
  <r>
    <x v="195"/>
    <s v="964-3779 Porttitor Rd."/>
    <x v="194"/>
    <n v="178"/>
    <n v="7"/>
    <n v="1246"/>
    <s v="South Africa"/>
    <d v="1990-12-13T00:00:00"/>
    <n v="5"/>
    <x v="2"/>
    <x v="2"/>
    <x v="1"/>
    <x v="0"/>
    <x v="1"/>
  </r>
  <r>
    <x v="196"/>
    <s v="Ap #968-8059 Dui. Ave"/>
    <x v="195"/>
    <n v="28"/>
    <n v="1"/>
    <n v="28"/>
    <s v="Sweden"/>
    <d v="1991-02-10T00:00:00"/>
    <n v="2"/>
    <x v="0"/>
    <x v="4"/>
    <x v="1"/>
    <x v="1"/>
    <x v="1"/>
  </r>
  <r>
    <x v="197"/>
    <s v="Ap #553-1641 Consequat, Road"/>
    <x v="196"/>
    <n v="38"/>
    <n v="3"/>
    <n v="114"/>
    <s v="Italy"/>
    <d v="1967-09-08T00:00:00"/>
    <n v="5"/>
    <x v="2"/>
    <x v="8"/>
    <x v="0"/>
    <x v="1"/>
    <x v="0"/>
  </r>
  <r>
    <x v="198"/>
    <s v="790-1144 Sed Av."/>
    <x v="197"/>
    <n v="30"/>
    <n v="3"/>
    <n v="90"/>
    <s v="New Zealand"/>
    <d v="1981-09-09T00:00:00"/>
    <n v="7"/>
    <x v="4"/>
    <x v="10"/>
    <x v="1"/>
    <x v="1"/>
    <x v="1"/>
  </r>
  <r>
    <x v="199"/>
    <s v="Ap #105-8738 Pellentesque Avenue"/>
    <x v="198"/>
    <n v="83"/>
    <n v="6"/>
    <n v="498"/>
    <s v="South Africa"/>
    <d v="1984-11-21T00:00:00"/>
    <n v="5"/>
    <x v="1"/>
    <x v="5"/>
    <x v="1"/>
    <x v="0"/>
    <x v="1"/>
  </r>
  <r>
    <x v="200"/>
    <s v="6157 Vel, Ave"/>
    <x v="199"/>
    <n v="100"/>
    <n v="8"/>
    <n v="800"/>
    <s v="Costa Rica"/>
    <d v="1961-08-04T00:00:00"/>
    <n v="3"/>
    <x v="0"/>
    <x v="2"/>
    <x v="1"/>
    <x v="1"/>
    <x v="0"/>
  </r>
  <r>
    <x v="201"/>
    <s v="243-2729 Eget Street"/>
    <x v="200"/>
    <n v="64"/>
    <n v="1"/>
    <n v="64"/>
    <s v="Singapore"/>
    <d v="1986-02-10T00:00:00"/>
    <n v="5"/>
    <x v="2"/>
    <x v="7"/>
    <x v="1"/>
    <x v="0"/>
    <x v="1"/>
  </r>
  <r>
    <x v="202"/>
    <s v="8225 Sem Rd."/>
    <x v="201"/>
    <n v="100"/>
    <n v="3"/>
    <n v="300"/>
    <s v="United Kingdom"/>
    <d v="1987-02-27T00:00:00"/>
    <n v="2"/>
    <x v="4"/>
    <x v="7"/>
    <x v="1"/>
    <x v="1"/>
    <x v="0"/>
  </r>
  <r>
    <x v="203"/>
    <s v="Ap #459-2385 Morbi Avenue"/>
    <x v="202"/>
    <n v="168"/>
    <n v="10"/>
    <n v="1680"/>
    <s v="Costa Rica"/>
    <d v="1978-08-27T00:00:00"/>
    <n v="1"/>
    <x v="2"/>
    <x v="3"/>
    <x v="1"/>
    <x v="1"/>
    <x v="1"/>
  </r>
  <r>
    <x v="204"/>
    <s v="1511 Phasellus Street"/>
    <x v="203"/>
    <n v="64"/>
    <n v="7"/>
    <n v="448"/>
    <s v="South Africa"/>
    <d v="1982-11-28T00:00:00"/>
    <n v="3"/>
    <x v="0"/>
    <x v="6"/>
    <x v="1"/>
    <x v="1"/>
    <x v="1"/>
  </r>
  <r>
    <x v="155"/>
    <s v="Ap #301-9196 Aliquam St."/>
    <x v="204"/>
    <n v="225"/>
    <n v="4"/>
    <n v="900"/>
    <s v="Netherlands"/>
    <d v="1974-12-12T00:00:00"/>
    <n v="7"/>
    <x v="0"/>
    <x v="10"/>
    <x v="0"/>
    <x v="0"/>
    <x v="1"/>
  </r>
  <r>
    <x v="40"/>
    <s v="958-7215 Justo Road"/>
    <x v="205"/>
    <n v="85"/>
    <n v="9"/>
    <n v="765"/>
    <s v="Chile"/>
    <d v="1977-04-10T00:00:00"/>
    <n v="1"/>
    <x v="3"/>
    <x v="5"/>
    <x v="0"/>
    <x v="1"/>
    <x v="1"/>
  </r>
  <r>
    <x v="136"/>
    <s v="585-9084 Urna. St."/>
    <x v="206"/>
    <n v="126"/>
    <n v="6"/>
    <n v="756"/>
    <s v="Netherlands"/>
    <d v="1981-08-26T00:00:00"/>
    <n v="7"/>
    <x v="4"/>
    <x v="1"/>
    <x v="0"/>
    <x v="1"/>
    <x v="0"/>
  </r>
  <r>
    <x v="204"/>
    <s v="Ap #988-2798 Phasellus Street"/>
    <x v="207"/>
    <n v="259"/>
    <n v="5"/>
    <n v="1295"/>
    <s v="Vietnam"/>
    <d v="1973-04-01T00:00:00"/>
    <n v="3"/>
    <x v="2"/>
    <x v="8"/>
    <x v="0"/>
    <x v="1"/>
    <x v="0"/>
  </r>
  <r>
    <x v="205"/>
    <s v="9008 Dui Rd."/>
    <x v="208"/>
    <n v="296"/>
    <n v="8"/>
    <n v="2368"/>
    <s v="Mexico"/>
    <d v="1978-07-04T00:00:00"/>
    <n v="7"/>
    <x v="0"/>
    <x v="9"/>
    <x v="1"/>
    <x v="1"/>
    <x v="1"/>
  </r>
  <r>
    <x v="206"/>
    <s v="756-6597 In, Av."/>
    <x v="209"/>
    <n v="215"/>
    <n v="2"/>
    <n v="430"/>
    <s v="Nigeria"/>
    <d v="1978-04-22T00:00:00"/>
    <n v="4"/>
    <x v="0"/>
    <x v="6"/>
    <x v="1"/>
    <x v="1"/>
    <x v="1"/>
  </r>
  <r>
    <x v="207"/>
    <s v="5200 Amet Ave"/>
    <x v="148"/>
    <n v="199"/>
    <n v="9"/>
    <n v="1791"/>
    <s v="South Korea"/>
    <d v="1994-10-30T00:00:00"/>
    <n v="5"/>
    <x v="1"/>
    <x v="8"/>
    <x v="1"/>
    <x v="1"/>
    <x v="1"/>
  </r>
  <r>
    <x v="208"/>
    <s v="802-6219 Nunc Street"/>
    <x v="210"/>
    <n v="261"/>
    <n v="10"/>
    <n v="2610"/>
    <s v="New Zealand"/>
    <d v="1978-04-30T00:00:00"/>
    <n v="3"/>
    <x v="2"/>
    <x v="5"/>
    <x v="0"/>
    <x v="1"/>
    <x v="1"/>
  </r>
  <r>
    <x v="209"/>
    <s v="Ap #112-7571 Sodales Avenue"/>
    <x v="190"/>
    <n v="80"/>
    <n v="4"/>
    <n v="320"/>
    <s v="Brazil"/>
    <d v="1985-02-11T00:00:00"/>
    <n v="3"/>
    <x v="4"/>
    <x v="8"/>
    <x v="1"/>
    <x v="0"/>
    <x v="1"/>
  </r>
  <r>
    <x v="210"/>
    <s v="Ap #941-5173 Sed Road"/>
    <x v="211"/>
    <n v="88"/>
    <n v="2"/>
    <n v="176"/>
    <s v="Turkey"/>
    <d v="1991-11-05T00:00:00"/>
    <n v="2"/>
    <x v="4"/>
    <x v="1"/>
    <x v="0"/>
    <x v="0"/>
    <x v="1"/>
  </r>
  <r>
    <x v="211"/>
    <s v="Ap #619-6208 Eu St."/>
    <x v="212"/>
    <n v="279"/>
    <n v="10"/>
    <n v="2790"/>
    <s v="Peru"/>
    <d v="1986-07-02T00:00:00"/>
    <n v="2"/>
    <x v="1"/>
    <x v="6"/>
    <x v="1"/>
    <x v="0"/>
    <x v="0"/>
  </r>
  <r>
    <x v="212"/>
    <s v="774-3632 Metus Av."/>
    <x v="213"/>
    <n v="69"/>
    <n v="9"/>
    <n v="621"/>
    <s v="Mexico"/>
    <d v="1986-09-07T00:00:00"/>
    <n v="5"/>
    <x v="0"/>
    <x v="1"/>
    <x v="1"/>
    <x v="0"/>
    <x v="0"/>
  </r>
  <r>
    <x v="213"/>
    <s v="P.O. Box 303, 7338 Leo, Ave"/>
    <x v="214"/>
    <n v="54"/>
    <n v="5"/>
    <n v="270"/>
    <s v="Brazil"/>
    <d v="1965-08-20T00:00:00"/>
    <n v="6"/>
    <x v="0"/>
    <x v="8"/>
    <x v="0"/>
    <x v="1"/>
    <x v="0"/>
  </r>
  <r>
    <x v="214"/>
    <s v="799-1772 Eu Rd."/>
    <x v="215"/>
    <n v="40"/>
    <n v="4"/>
    <n v="160"/>
    <s v="United States"/>
    <d v="1955-11-23T00:00:00"/>
    <n v="4"/>
    <x v="1"/>
    <x v="3"/>
    <x v="0"/>
    <x v="1"/>
    <x v="1"/>
  </r>
  <r>
    <x v="215"/>
    <s v="387-9819 A Rd."/>
    <x v="216"/>
    <n v="47"/>
    <n v="8"/>
    <n v="376"/>
    <s v="Vietnam"/>
    <d v="1957-04-08T00:00:00"/>
    <n v="5"/>
    <x v="1"/>
    <x v="4"/>
    <x v="1"/>
    <x v="1"/>
    <x v="0"/>
  </r>
  <r>
    <x v="216"/>
    <s v="Ap #396-1807 Lectus. St."/>
    <x v="217"/>
    <n v="69"/>
    <n v="2"/>
    <n v="138"/>
    <s v="Singapore"/>
    <d v="1974-04-02T00:00:00"/>
    <n v="1"/>
    <x v="3"/>
    <x v="9"/>
    <x v="0"/>
    <x v="0"/>
    <x v="0"/>
  </r>
  <r>
    <x v="217"/>
    <s v="P.O. Box 919, 7525 Pharetra. Av."/>
    <x v="218"/>
    <n v="145"/>
    <n v="9"/>
    <n v="1305"/>
    <s v="Philippines"/>
    <d v="1958-10-12T00:00:00"/>
    <n v="3"/>
    <x v="3"/>
    <x v="5"/>
    <x v="0"/>
    <x v="1"/>
    <x v="1"/>
  </r>
  <r>
    <x v="218"/>
    <s v="9694 Ullamcorper, Avenue"/>
    <x v="118"/>
    <n v="153"/>
    <n v="3"/>
    <n v="459"/>
    <s v="Vietnam"/>
    <d v="1989-08-20T00:00:00"/>
    <n v="7"/>
    <x v="2"/>
    <x v="0"/>
    <x v="1"/>
    <x v="0"/>
    <x v="1"/>
  </r>
  <r>
    <x v="219"/>
    <s v="Ap #924-6737 Sollicitudin St."/>
    <x v="137"/>
    <n v="231"/>
    <n v="3"/>
    <n v="693"/>
    <s v="Russian Federation"/>
    <d v="1961-06-07T00:00:00"/>
    <n v="4"/>
    <x v="3"/>
    <x v="10"/>
    <x v="0"/>
    <x v="1"/>
    <x v="1"/>
  </r>
  <r>
    <x v="220"/>
    <s v="7180 Molestie Av."/>
    <x v="219"/>
    <n v="142"/>
    <n v="4"/>
    <n v="568"/>
    <s v="Netherlands"/>
    <d v="1958-07-23T00:00:00"/>
    <n v="6"/>
    <x v="2"/>
    <x v="5"/>
    <x v="1"/>
    <x v="1"/>
    <x v="1"/>
  </r>
  <r>
    <x v="221"/>
    <s v="496-9948 Ornare Road"/>
    <x v="220"/>
    <n v="54"/>
    <n v="9"/>
    <n v="486"/>
    <s v="Indonesia"/>
    <d v="1966-11-21T00:00:00"/>
    <n v="7"/>
    <x v="1"/>
    <x v="0"/>
    <x v="0"/>
    <x v="0"/>
    <x v="1"/>
  </r>
  <r>
    <x v="222"/>
    <s v="356-7483 Cursus St."/>
    <x v="221"/>
    <n v="169"/>
    <n v="7"/>
    <n v="1183"/>
    <s v="Belgium"/>
    <d v="1969-04-01T00:00:00"/>
    <n v="3"/>
    <x v="0"/>
    <x v="7"/>
    <x v="0"/>
    <x v="0"/>
    <x v="0"/>
  </r>
  <r>
    <x v="223"/>
    <s v="464 Eu St."/>
    <x v="222"/>
    <n v="280"/>
    <n v="3"/>
    <n v="840"/>
    <s v="Canada"/>
    <d v="1974-03-22T00:00:00"/>
    <n v="7"/>
    <x v="2"/>
    <x v="6"/>
    <x v="0"/>
    <x v="1"/>
    <x v="1"/>
  </r>
  <r>
    <x v="224"/>
    <s v="Ap #384-6023 Rutrum, Rd."/>
    <x v="223"/>
    <n v="95"/>
    <n v="2"/>
    <n v="190"/>
    <s v="Ukraine"/>
    <d v="1961-10-15T00:00:00"/>
    <n v="5"/>
    <x v="4"/>
    <x v="1"/>
    <x v="0"/>
    <x v="0"/>
    <x v="0"/>
  </r>
  <r>
    <x v="225"/>
    <s v="2205 Ligula. Rd."/>
    <x v="224"/>
    <n v="186"/>
    <n v="8"/>
    <n v="1488"/>
    <s v="Italy"/>
    <d v="1992-12-28T00:00:00"/>
    <n v="2"/>
    <x v="4"/>
    <x v="1"/>
    <x v="1"/>
    <x v="0"/>
    <x v="0"/>
  </r>
  <r>
    <x v="226"/>
    <s v="285-8705 Pede Rd."/>
    <x v="207"/>
    <n v="271"/>
    <n v="3"/>
    <n v="813"/>
    <s v="Indonesia"/>
    <d v="1982-05-16T00:00:00"/>
    <n v="6"/>
    <x v="0"/>
    <x v="10"/>
    <x v="1"/>
    <x v="1"/>
    <x v="0"/>
  </r>
  <r>
    <x v="227"/>
    <s v="683-8217 Adipiscing Avenue"/>
    <x v="225"/>
    <n v="185"/>
    <n v="7"/>
    <n v="1295"/>
    <s v="South Africa"/>
    <d v="1984-01-21T00:00:00"/>
    <n v="4"/>
    <x v="3"/>
    <x v="3"/>
    <x v="0"/>
    <x v="0"/>
    <x v="1"/>
  </r>
  <r>
    <x v="228"/>
    <s v="Ap #709-9028 Arcu. Rd."/>
    <x v="226"/>
    <n v="184"/>
    <n v="8"/>
    <n v="1472"/>
    <s v="New Zealand"/>
    <d v="1985-03-23T00:00:00"/>
    <n v="4"/>
    <x v="3"/>
    <x v="7"/>
    <x v="0"/>
    <x v="1"/>
    <x v="0"/>
  </r>
  <r>
    <x v="229"/>
    <s v="P.O. Box 466, 5299 Sed Avenue"/>
    <x v="227"/>
    <n v="45"/>
    <n v="6"/>
    <n v="270"/>
    <s v="Vietnam"/>
    <d v="1990-08-08T00:00:00"/>
    <n v="6"/>
    <x v="3"/>
    <x v="4"/>
    <x v="0"/>
    <x v="0"/>
    <x v="1"/>
  </r>
  <r>
    <x v="230"/>
    <s v="6837 Vitae Street"/>
    <x v="228"/>
    <n v="169"/>
    <n v="3"/>
    <n v="507"/>
    <s v="Brazil"/>
    <d v="1969-09-28T00:00:00"/>
    <n v="7"/>
    <x v="2"/>
    <x v="6"/>
    <x v="0"/>
    <x v="0"/>
    <x v="1"/>
  </r>
  <r>
    <x v="231"/>
    <s v="470-5231 At, Av."/>
    <x v="229"/>
    <n v="201"/>
    <n v="4"/>
    <n v="804"/>
    <s v="Chile"/>
    <d v="1986-07-16T00:00:00"/>
    <n v="4"/>
    <x v="0"/>
    <x v="3"/>
    <x v="0"/>
    <x v="0"/>
    <x v="0"/>
  </r>
  <r>
    <x v="232"/>
    <s v="458 Nullam Rd."/>
    <x v="230"/>
    <n v="175"/>
    <n v="6"/>
    <n v="1050"/>
    <s v="India"/>
    <d v="1974-12-08T00:00:00"/>
    <n v="6"/>
    <x v="2"/>
    <x v="4"/>
    <x v="0"/>
    <x v="0"/>
    <x v="0"/>
  </r>
  <r>
    <x v="233"/>
    <s v="Ap #934-2005 In, Rd."/>
    <x v="231"/>
    <n v="263"/>
    <n v="9"/>
    <n v="2367"/>
    <s v="Canada"/>
    <d v="1962-03-14T00:00:00"/>
    <n v="2"/>
    <x v="1"/>
    <x v="3"/>
    <x v="1"/>
    <x v="1"/>
    <x v="0"/>
  </r>
  <r>
    <x v="234"/>
    <s v="Ap #899-5428 Ornare, Street"/>
    <x v="232"/>
    <n v="126"/>
    <n v="3"/>
    <n v="378"/>
    <s v="Italy"/>
    <d v="1958-05-31T00:00:00"/>
    <n v="6"/>
    <x v="0"/>
    <x v="1"/>
    <x v="1"/>
    <x v="1"/>
    <x v="0"/>
  </r>
  <r>
    <x v="235"/>
    <s v="242-1880 Vitae Avenue"/>
    <x v="233"/>
    <n v="71"/>
    <n v="1"/>
    <n v="71"/>
    <s v="Spain"/>
    <d v="1987-10-29T00:00:00"/>
    <n v="6"/>
    <x v="3"/>
    <x v="8"/>
    <x v="1"/>
    <x v="0"/>
    <x v="0"/>
  </r>
  <r>
    <x v="236"/>
    <s v="Ap #722-365 Mi Avenue"/>
    <x v="234"/>
    <n v="283"/>
    <n v="8"/>
    <n v="2264"/>
    <s v="Spain"/>
    <d v="1963-04-06T00:00:00"/>
    <n v="3"/>
    <x v="2"/>
    <x v="7"/>
    <x v="0"/>
    <x v="0"/>
    <x v="0"/>
  </r>
  <r>
    <x v="237"/>
    <s v="244-918 Velit. Rd."/>
    <x v="91"/>
    <n v="122"/>
    <n v="2"/>
    <n v="244"/>
    <s v="India"/>
    <d v="1977-09-15T00:00:00"/>
    <n v="7"/>
    <x v="4"/>
    <x v="4"/>
    <x v="1"/>
    <x v="0"/>
    <x v="0"/>
  </r>
  <r>
    <x v="238"/>
    <s v="753-6132 Vestibulum Avenue"/>
    <x v="235"/>
    <n v="139"/>
    <n v="2"/>
    <n v="278"/>
    <s v="Russian Federation"/>
    <d v="1959-01-22T00:00:00"/>
    <n v="1"/>
    <x v="4"/>
    <x v="5"/>
    <x v="1"/>
    <x v="0"/>
    <x v="0"/>
  </r>
  <r>
    <x v="239"/>
    <s v="Ap #205-3944 Aliquam Rd."/>
    <x v="236"/>
    <n v="255"/>
    <n v="9"/>
    <n v="2295"/>
    <s v="Netherlands"/>
    <d v="1964-04-18T00:00:00"/>
    <n v="4"/>
    <x v="2"/>
    <x v="8"/>
    <x v="0"/>
    <x v="0"/>
    <x v="1"/>
  </r>
  <r>
    <x v="240"/>
    <s v="424-965 Mollis. Road"/>
    <x v="237"/>
    <n v="129"/>
    <n v="1"/>
    <n v="129"/>
    <s v="Peru"/>
    <d v="1957-01-29T00:00:00"/>
    <n v="6"/>
    <x v="4"/>
    <x v="4"/>
    <x v="0"/>
    <x v="0"/>
    <x v="1"/>
  </r>
  <r>
    <x v="241"/>
    <s v="P.O. Box 378, 2883 Est St."/>
    <x v="238"/>
    <n v="222"/>
    <n v="7"/>
    <n v="1554"/>
    <s v="Spain"/>
    <d v="1988-10-09T00:00:00"/>
    <n v="5"/>
    <x v="0"/>
    <x v="8"/>
    <x v="0"/>
    <x v="1"/>
    <x v="1"/>
  </r>
  <r>
    <x v="242"/>
    <s v="Ap #983-1506 Vulputate Av."/>
    <x v="239"/>
    <n v="160"/>
    <n v="6"/>
    <n v="960"/>
    <s v="Philippines"/>
    <d v="1982-01-18T00:00:00"/>
    <n v="1"/>
    <x v="3"/>
    <x v="3"/>
    <x v="0"/>
    <x v="1"/>
    <x v="1"/>
  </r>
  <r>
    <x v="243"/>
    <s v="525-2811 Malesuada Rd."/>
    <x v="240"/>
    <n v="277"/>
    <n v="3"/>
    <n v="831"/>
    <s v="New Zealand"/>
    <d v="1974-11-11T00:00:00"/>
    <n v="3"/>
    <x v="4"/>
    <x v="3"/>
    <x v="0"/>
    <x v="1"/>
    <x v="0"/>
  </r>
  <r>
    <x v="244"/>
    <s v="Ap #684-6828 At Ave"/>
    <x v="241"/>
    <n v="300"/>
    <n v="6"/>
    <n v="1800"/>
    <s v="Germany"/>
    <d v="1958-08-15T00:00:00"/>
    <n v="6"/>
    <x v="4"/>
    <x v="4"/>
    <x v="1"/>
    <x v="0"/>
    <x v="1"/>
  </r>
  <r>
    <x v="245"/>
    <s v="175 Ac Rd."/>
    <x v="242"/>
    <n v="64"/>
    <n v="6"/>
    <n v="384"/>
    <s v="Australia"/>
    <d v="1994-10-23T00:00:00"/>
    <n v="7"/>
    <x v="3"/>
    <x v="6"/>
    <x v="0"/>
    <x v="1"/>
    <x v="1"/>
  </r>
  <r>
    <x v="246"/>
    <s v="Ap #944-7127 Lorem St."/>
    <x v="243"/>
    <n v="67"/>
    <n v="3"/>
    <n v="201"/>
    <s v="New Zealand"/>
    <d v="1963-05-28T00:00:00"/>
    <n v="7"/>
    <x v="1"/>
    <x v="6"/>
    <x v="1"/>
    <x v="1"/>
    <x v="0"/>
  </r>
  <r>
    <x v="247"/>
    <s v="399-6218 Posuere Rd."/>
    <x v="244"/>
    <n v="237"/>
    <n v="8"/>
    <n v="1896"/>
    <s v="Indonesia"/>
    <d v="1965-12-01T00:00:00"/>
    <n v="2"/>
    <x v="4"/>
    <x v="5"/>
    <x v="1"/>
    <x v="0"/>
    <x v="0"/>
  </r>
  <r>
    <x v="248"/>
    <s v="Ap #553-1867 Parturient Rd."/>
    <x v="245"/>
    <n v="167"/>
    <n v="10"/>
    <n v="1670"/>
    <s v="South Africa"/>
    <d v="1994-07-02T00:00:00"/>
    <n v="3"/>
    <x v="3"/>
    <x v="8"/>
    <x v="1"/>
    <x v="0"/>
    <x v="0"/>
  </r>
  <r>
    <x v="249"/>
    <s v="P.O. Box 939, 5130 Nec Rd."/>
    <x v="246"/>
    <n v="128"/>
    <n v="3"/>
    <n v="384"/>
    <s v="Netherlands"/>
    <d v="1965-04-03T00:00:00"/>
    <n v="5"/>
    <x v="1"/>
    <x v="7"/>
    <x v="0"/>
    <x v="0"/>
    <x v="0"/>
  </r>
  <r>
    <x v="250"/>
    <s v="436-9160 Mauris St."/>
    <x v="247"/>
    <n v="75"/>
    <n v="7"/>
    <n v="525"/>
    <s v="China"/>
    <d v="1974-05-15T00:00:00"/>
    <n v="4"/>
    <x v="4"/>
    <x v="0"/>
    <x v="1"/>
    <x v="0"/>
    <x v="1"/>
  </r>
  <r>
    <x v="251"/>
    <s v="Ap #132-849 Sem Ave"/>
    <x v="248"/>
    <n v="198"/>
    <n v="1"/>
    <n v="198"/>
    <s v="Colombia"/>
    <d v="1964-05-09T00:00:00"/>
    <n v="4"/>
    <x v="2"/>
    <x v="3"/>
    <x v="0"/>
    <x v="0"/>
    <x v="0"/>
  </r>
  <r>
    <x v="252"/>
    <s v="P.O. Box 410, 2170 Quisque Street"/>
    <x v="249"/>
    <n v="23"/>
    <n v="1"/>
    <n v="23"/>
    <s v="Colombia"/>
    <d v="1974-11-30T00:00:00"/>
    <n v="1"/>
    <x v="3"/>
    <x v="2"/>
    <x v="0"/>
    <x v="1"/>
    <x v="1"/>
  </r>
  <r>
    <x v="253"/>
    <s v="Ap #265-7531 Nibh Ave"/>
    <x v="250"/>
    <n v="208"/>
    <n v="8"/>
    <n v="1664"/>
    <s v="France"/>
    <d v="1981-07-25T00:00:00"/>
    <n v="5"/>
    <x v="2"/>
    <x v="0"/>
    <x v="1"/>
    <x v="0"/>
    <x v="1"/>
  </r>
  <r>
    <x v="254"/>
    <s v="P.O. Box 476, 5345 Cras Rd."/>
    <x v="251"/>
    <n v="245"/>
    <n v="9"/>
    <n v="2205"/>
    <s v="Costa Rica"/>
    <d v="1976-07-19T00:00:00"/>
    <n v="3"/>
    <x v="1"/>
    <x v="10"/>
    <x v="1"/>
    <x v="1"/>
    <x v="0"/>
  </r>
  <r>
    <x v="255"/>
    <s v="P.O. Box 269, 4592 Ipsum St."/>
    <x v="252"/>
    <n v="99"/>
    <n v="2"/>
    <n v="198"/>
    <s v="South Korea"/>
    <d v="1982-02-24T00:00:00"/>
    <n v="2"/>
    <x v="2"/>
    <x v="3"/>
    <x v="1"/>
    <x v="1"/>
    <x v="1"/>
  </r>
  <r>
    <x v="75"/>
    <s v="734-5871 Vestibulum, Rd."/>
    <x v="253"/>
    <n v="173"/>
    <n v="10"/>
    <n v="1730"/>
    <s v="South Africa"/>
    <d v="1965-08-09T00:00:00"/>
    <n v="4"/>
    <x v="1"/>
    <x v="9"/>
    <x v="1"/>
    <x v="1"/>
    <x v="0"/>
  </r>
  <r>
    <x v="256"/>
    <s v="176-3102 Morbi Rd."/>
    <x v="254"/>
    <n v="20"/>
    <n v="1"/>
    <n v="20"/>
    <s v="South Africa"/>
    <d v="1982-06-07T00:00:00"/>
    <n v="3"/>
    <x v="0"/>
    <x v="2"/>
    <x v="1"/>
    <x v="0"/>
    <x v="1"/>
  </r>
  <r>
    <x v="257"/>
    <s v="4536 Sed Road"/>
    <x v="255"/>
    <n v="189"/>
    <n v="4"/>
    <n v="756"/>
    <s v="Austria"/>
    <d v="1973-05-19T00:00:00"/>
    <n v="3"/>
    <x v="1"/>
    <x v="2"/>
    <x v="1"/>
    <x v="1"/>
    <x v="0"/>
  </r>
  <r>
    <x v="258"/>
    <s v="561-8117 Non, St."/>
    <x v="256"/>
    <n v="218"/>
    <n v="10"/>
    <n v="2180"/>
    <s v="Australia"/>
    <d v="1986-12-25T00:00:00"/>
    <n v="6"/>
    <x v="1"/>
    <x v="2"/>
    <x v="1"/>
    <x v="0"/>
    <x v="0"/>
  </r>
  <r>
    <x v="259"/>
    <s v="907-3703 Facilisis St."/>
    <x v="257"/>
    <n v="295"/>
    <n v="8"/>
    <n v="2360"/>
    <s v="Singapore"/>
    <d v="1987-09-24T00:00:00"/>
    <n v="2"/>
    <x v="2"/>
    <x v="8"/>
    <x v="1"/>
    <x v="0"/>
    <x v="1"/>
  </r>
  <r>
    <x v="260"/>
    <s v="5063 Pellentesque Rd."/>
    <x v="148"/>
    <n v="27"/>
    <n v="1"/>
    <n v="27"/>
    <s v="Colombia"/>
    <d v="1978-06-20T00:00:00"/>
    <n v="1"/>
    <x v="3"/>
    <x v="5"/>
    <x v="0"/>
    <x v="1"/>
    <x v="1"/>
  </r>
  <r>
    <x v="261"/>
    <s v="Ap #713-9382 Non Av."/>
    <x v="258"/>
    <n v="152"/>
    <n v="9"/>
    <n v="1368"/>
    <s v="Sweden"/>
    <d v="1974-08-04T00:00:00"/>
    <n v="4"/>
    <x v="2"/>
    <x v="6"/>
    <x v="0"/>
    <x v="1"/>
    <x v="1"/>
  </r>
  <r>
    <x v="262"/>
    <s v="Ap #698-8956 Ac Ave"/>
    <x v="259"/>
    <n v="210"/>
    <n v="9"/>
    <n v="1890"/>
    <s v="Australia"/>
    <d v="1979-01-11T00:00:00"/>
    <n v="4"/>
    <x v="4"/>
    <x v="0"/>
    <x v="0"/>
    <x v="1"/>
    <x v="0"/>
  </r>
  <r>
    <x v="263"/>
    <s v="421-9280 Aliquam Av."/>
    <x v="260"/>
    <n v="230"/>
    <n v="5"/>
    <n v="1150"/>
    <s v="Norway"/>
    <d v="1982-04-09T00:00:00"/>
    <n v="7"/>
    <x v="0"/>
    <x v="5"/>
    <x v="0"/>
    <x v="1"/>
    <x v="1"/>
  </r>
  <r>
    <x v="264"/>
    <s v="Ap #675-7365 Dui Rd."/>
    <x v="261"/>
    <n v="257"/>
    <n v="9"/>
    <n v="2313"/>
    <s v="Pakistan"/>
    <d v="1981-08-09T00:00:00"/>
    <n v="3"/>
    <x v="0"/>
    <x v="2"/>
    <x v="1"/>
    <x v="1"/>
    <x v="1"/>
  </r>
  <r>
    <x v="265"/>
    <s v="P.O. Box 270, 7796 Dolor Ave"/>
    <x v="262"/>
    <n v="44"/>
    <n v="2"/>
    <n v="88"/>
    <s v="Norway"/>
    <d v="1980-06-10T00:00:00"/>
    <n v="5"/>
    <x v="0"/>
    <x v="4"/>
    <x v="0"/>
    <x v="1"/>
    <x v="1"/>
  </r>
  <r>
    <x v="266"/>
    <s v="P.O. Box 369, 6028 Sagittis. Street"/>
    <x v="263"/>
    <n v="35"/>
    <n v="2"/>
    <n v="70"/>
    <s v="New Zealand"/>
    <d v="1974-03-15T00:00:00"/>
    <n v="2"/>
    <x v="4"/>
    <x v="2"/>
    <x v="0"/>
    <x v="1"/>
    <x v="1"/>
  </r>
  <r>
    <x v="267"/>
    <s v="565-1213 At Street"/>
    <x v="264"/>
    <n v="264"/>
    <n v="8"/>
    <n v="2112"/>
    <s v="Austria"/>
    <d v="1959-09-27T00:00:00"/>
    <n v="6"/>
    <x v="4"/>
    <x v="3"/>
    <x v="1"/>
    <x v="1"/>
    <x v="1"/>
  </r>
  <r>
    <x v="268"/>
    <s v="4758 Semper Av."/>
    <x v="265"/>
    <n v="70"/>
    <n v="9"/>
    <n v="630"/>
    <s v="Singapore"/>
    <d v="1975-05-21T00:00:00"/>
    <n v="1"/>
    <x v="2"/>
    <x v="4"/>
    <x v="1"/>
    <x v="0"/>
    <x v="1"/>
  </r>
  <r>
    <x v="269"/>
    <s v="Ap #917-2299 Donec Avenue"/>
    <x v="266"/>
    <n v="78"/>
    <n v="4"/>
    <n v="312"/>
    <s v="India"/>
    <d v="1964-03-29T00:00:00"/>
    <n v="7"/>
    <x v="0"/>
    <x v="9"/>
    <x v="1"/>
    <x v="0"/>
    <x v="1"/>
  </r>
  <r>
    <x v="270"/>
    <s v="Ap #733-3813 Proin St."/>
    <x v="160"/>
    <n v="231"/>
    <n v="7"/>
    <n v="1617"/>
    <s v="Vietnam"/>
    <d v="1962-09-29T00:00:00"/>
    <n v="5"/>
    <x v="1"/>
    <x v="4"/>
    <x v="1"/>
    <x v="0"/>
    <x v="0"/>
  </r>
  <r>
    <x v="271"/>
    <s v="Ap #391-3742 In, St."/>
    <x v="118"/>
    <n v="277"/>
    <n v="7"/>
    <n v="1939"/>
    <s v="Spain"/>
    <d v="1979-04-05T00:00:00"/>
    <n v="6"/>
    <x v="3"/>
    <x v="6"/>
    <x v="0"/>
    <x v="0"/>
    <x v="1"/>
  </r>
  <r>
    <x v="272"/>
    <s v="352-8715 Gravida Road"/>
    <x v="267"/>
    <n v="213"/>
    <n v="5"/>
    <n v="1065"/>
    <s v="Sweden"/>
    <d v="1984-06-25T00:00:00"/>
    <n v="6"/>
    <x v="3"/>
    <x v="7"/>
    <x v="1"/>
    <x v="1"/>
    <x v="1"/>
  </r>
  <r>
    <x v="273"/>
    <s v="494-8905 Morbi Av."/>
    <x v="268"/>
    <n v="256"/>
    <n v="2"/>
    <n v="512"/>
    <s v="Germany"/>
    <d v="1983-11-30T00:00:00"/>
    <n v="2"/>
    <x v="0"/>
    <x v="10"/>
    <x v="0"/>
    <x v="0"/>
    <x v="1"/>
  </r>
  <r>
    <x v="274"/>
    <s v="Ap #726-5686 Sed Road"/>
    <x v="269"/>
    <n v="176"/>
    <n v="10"/>
    <n v="1760"/>
    <s v="Turkey"/>
    <d v="1968-03-09T00:00:00"/>
    <n v="2"/>
    <x v="4"/>
    <x v="10"/>
    <x v="0"/>
    <x v="0"/>
    <x v="1"/>
  </r>
  <r>
    <x v="275"/>
    <s v="587 Enim, Avenue"/>
    <x v="270"/>
    <n v="241"/>
    <n v="1"/>
    <n v="241"/>
    <s v="Pakistan"/>
    <d v="1984-07-18T00:00:00"/>
    <n v="4"/>
    <x v="4"/>
    <x v="1"/>
    <x v="1"/>
    <x v="1"/>
    <x v="1"/>
  </r>
  <r>
    <x v="276"/>
    <s v="758 Mus. St."/>
    <x v="271"/>
    <n v="293"/>
    <n v="5"/>
    <n v="1465"/>
    <s v="Australia"/>
    <d v="1965-07-18T00:00:00"/>
    <n v="3"/>
    <x v="0"/>
    <x v="6"/>
    <x v="0"/>
    <x v="1"/>
    <x v="1"/>
  </r>
  <r>
    <x v="277"/>
    <s v="P.O. Box 961, 4361 Lorem St."/>
    <x v="272"/>
    <n v="224"/>
    <n v="5"/>
    <n v="1120"/>
    <s v="United Kingdom"/>
    <d v="1957-12-28T00:00:00"/>
    <n v="4"/>
    <x v="1"/>
    <x v="4"/>
    <x v="1"/>
    <x v="1"/>
    <x v="0"/>
  </r>
  <r>
    <x v="278"/>
    <s v="Ap #859-7554 Ante St."/>
    <x v="273"/>
    <n v="26"/>
    <n v="4"/>
    <n v="104"/>
    <s v="Germany"/>
    <d v="1976-09-30T00:00:00"/>
    <n v="2"/>
    <x v="4"/>
    <x v="1"/>
    <x v="0"/>
    <x v="1"/>
    <x v="1"/>
  </r>
  <r>
    <x v="279"/>
    <s v="4371 Donec Street"/>
    <x v="274"/>
    <n v="175"/>
    <n v="1"/>
    <n v="175"/>
    <s v="China"/>
    <d v="1957-11-25T00:00:00"/>
    <n v="3"/>
    <x v="0"/>
    <x v="6"/>
    <x v="1"/>
    <x v="0"/>
    <x v="0"/>
  </r>
  <r>
    <x v="280"/>
    <s v="Ap #964-8365 Velit. Road"/>
    <x v="275"/>
    <n v="157"/>
    <n v="4"/>
    <n v="628"/>
    <s v="Netherlands"/>
    <d v="1988-09-22T00:00:00"/>
    <n v="5"/>
    <x v="1"/>
    <x v="0"/>
    <x v="1"/>
    <x v="1"/>
    <x v="1"/>
  </r>
  <r>
    <x v="281"/>
    <s v="424-1883 Facilisis, Av."/>
    <x v="276"/>
    <n v="277"/>
    <n v="10"/>
    <n v="2770"/>
    <s v="Ireland"/>
    <d v="1961-06-16T00:00:00"/>
    <n v="4"/>
    <x v="2"/>
    <x v="5"/>
    <x v="0"/>
    <x v="0"/>
    <x v="1"/>
  </r>
  <r>
    <x v="282"/>
    <s v="167-2256 Euismod Rd."/>
    <x v="277"/>
    <n v="243"/>
    <n v="7"/>
    <n v="1701"/>
    <s v="South Korea"/>
    <d v="1987-05-22T00:00:00"/>
    <n v="4"/>
    <x v="3"/>
    <x v="4"/>
    <x v="0"/>
    <x v="0"/>
    <x v="0"/>
  </r>
  <r>
    <x v="283"/>
    <s v="P.O. Box 535, 9192 Dictum. St."/>
    <x v="278"/>
    <n v="33"/>
    <n v="8"/>
    <n v="264"/>
    <s v="Canada"/>
    <d v="1961-03-03T00:00:00"/>
    <n v="2"/>
    <x v="1"/>
    <x v="6"/>
    <x v="0"/>
    <x v="1"/>
    <x v="1"/>
  </r>
  <r>
    <x v="284"/>
    <s v="P.O. Box 651, 9248 Tortor. Av."/>
    <x v="279"/>
    <n v="129"/>
    <n v="4"/>
    <n v="516"/>
    <s v="South Africa"/>
    <d v="1986-09-07T00:00:00"/>
    <n v="2"/>
    <x v="2"/>
    <x v="8"/>
    <x v="1"/>
    <x v="0"/>
    <x v="0"/>
  </r>
  <r>
    <x v="33"/>
    <s v="Ap #453-3485 Imperdiet Rd."/>
    <x v="280"/>
    <n v="157"/>
    <n v="9"/>
    <n v="1413"/>
    <s v="Peru"/>
    <d v="1989-12-07T00:00:00"/>
    <n v="7"/>
    <x v="1"/>
    <x v="0"/>
    <x v="0"/>
    <x v="1"/>
    <x v="0"/>
  </r>
  <r>
    <x v="285"/>
    <s v="P.O. Box 896, 5796 Nec, St."/>
    <x v="34"/>
    <n v="299"/>
    <n v="1"/>
    <n v="299"/>
    <s v="Norway"/>
    <d v="1975-07-28T00:00:00"/>
    <n v="7"/>
    <x v="4"/>
    <x v="9"/>
    <x v="0"/>
    <x v="0"/>
    <x v="0"/>
  </r>
  <r>
    <x v="286"/>
    <s v="P.O. Box 535, 1822 Suspendisse Street"/>
    <x v="281"/>
    <n v="82"/>
    <n v="5"/>
    <n v="410"/>
    <s v="Vietnam"/>
    <d v="1993-09-10T00:00:00"/>
    <n v="6"/>
    <x v="3"/>
    <x v="8"/>
    <x v="0"/>
    <x v="1"/>
    <x v="1"/>
  </r>
  <r>
    <x v="287"/>
    <s v="763-6237 Id, Rd."/>
    <x v="282"/>
    <n v="156"/>
    <n v="5"/>
    <n v="780"/>
    <s v="Philippines"/>
    <d v="1971-03-12T00:00:00"/>
    <n v="1"/>
    <x v="3"/>
    <x v="0"/>
    <x v="0"/>
    <x v="1"/>
    <x v="1"/>
  </r>
  <r>
    <x v="288"/>
    <s v="712-1802 Proin Avenue"/>
    <x v="283"/>
    <n v="129"/>
    <n v="7"/>
    <n v="903"/>
    <s v="France"/>
    <d v="1971-05-22T00:00:00"/>
    <n v="7"/>
    <x v="4"/>
    <x v="9"/>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31C5550-E078-274E-8646-C90FA4E5C5EE}" name="PivotTable7" cacheId="35"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 rowHeaderCaption="Rent Bicicletta">
  <location ref="E16:F19" firstHeaderRow="1" firstDataRow="1" firstDataCol="1" rowPageCount="1" colPageCount="1"/>
  <pivotFields count="14">
    <pivotField dataField="1" showAll="0">
      <items count="290">
        <item x="209"/>
        <item x="28"/>
        <item x="242"/>
        <item x="181"/>
        <item x="202"/>
        <item x="70"/>
        <item x="286"/>
        <item x="11"/>
        <item x="252"/>
        <item x="55"/>
        <item x="283"/>
        <item x="6"/>
        <item x="172"/>
        <item x="156"/>
        <item x="65"/>
        <item x="235"/>
        <item x="75"/>
        <item x="276"/>
        <item x="191"/>
        <item x="233"/>
        <item x="60"/>
        <item x="171"/>
        <item x="158"/>
        <item x="154"/>
        <item x="104"/>
        <item x="244"/>
        <item x="270"/>
        <item x="180"/>
        <item x="105"/>
        <item x="254"/>
        <item x="195"/>
        <item x="92"/>
        <item x="31"/>
        <item x="126"/>
        <item x="264"/>
        <item x="248"/>
        <item x="109"/>
        <item x="58"/>
        <item x="237"/>
        <item x="99"/>
        <item x="77"/>
        <item x="59"/>
        <item x="163"/>
        <item x="64"/>
        <item x="44"/>
        <item x="9"/>
        <item x="281"/>
        <item x="41"/>
        <item x="218"/>
        <item x="273"/>
        <item x="20"/>
        <item x="274"/>
        <item x="33"/>
        <item x="103"/>
        <item x="114"/>
        <item x="253"/>
        <item x="261"/>
        <item x="210"/>
        <item x="76"/>
        <item x="97"/>
        <item x="258"/>
        <item x="241"/>
        <item x="72"/>
        <item x="207"/>
        <item x="240"/>
        <item x="189"/>
        <item x="147"/>
        <item x="187"/>
        <item x="7"/>
        <item x="135"/>
        <item x="246"/>
        <item x="26"/>
        <item x="165"/>
        <item x="259"/>
        <item x="102"/>
        <item x="63"/>
        <item x="113"/>
        <item x="221"/>
        <item x="269"/>
        <item x="214"/>
        <item x="129"/>
        <item x="118"/>
        <item x="120"/>
        <item x="91"/>
        <item x="224"/>
        <item x="192"/>
        <item x="94"/>
        <item x="37"/>
        <item x="84"/>
        <item x="95"/>
        <item x="98"/>
        <item x="130"/>
        <item x="124"/>
        <item x="243"/>
        <item x="266"/>
        <item x="141"/>
        <item x="30"/>
        <item x="40"/>
        <item x="42"/>
        <item x="25"/>
        <item x="188"/>
        <item x="35"/>
        <item x="62"/>
        <item x="245"/>
        <item x="213"/>
        <item x="13"/>
        <item x="17"/>
        <item x="27"/>
        <item x="24"/>
        <item x="110"/>
        <item x="201"/>
        <item x="186"/>
        <item x="185"/>
        <item x="32"/>
        <item x="125"/>
        <item x="52"/>
        <item x="239"/>
        <item x="66"/>
        <item x="208"/>
        <item x="122"/>
        <item x="250"/>
        <item x="223"/>
        <item x="260"/>
        <item x="116"/>
        <item x="46"/>
        <item x="280"/>
        <item x="101"/>
        <item x="21"/>
        <item x="155"/>
        <item x="16"/>
        <item x="2"/>
        <item x="249"/>
        <item x="132"/>
        <item x="106"/>
        <item x="197"/>
        <item x="67"/>
        <item x="275"/>
        <item x="48"/>
        <item x="182"/>
        <item x="268"/>
        <item x="229"/>
        <item x="0"/>
        <item x="230"/>
        <item x="123"/>
        <item x="112"/>
        <item x="164"/>
        <item x="36"/>
        <item x="199"/>
        <item x="143"/>
        <item x="83"/>
        <item x="144"/>
        <item x="4"/>
        <item x="226"/>
        <item x="128"/>
        <item x="247"/>
        <item x="87"/>
        <item x="88"/>
        <item x="80"/>
        <item x="211"/>
        <item x="5"/>
        <item x="108"/>
        <item x="117"/>
        <item x="61"/>
        <item x="178"/>
        <item x="183"/>
        <item x="204"/>
        <item x="262"/>
        <item x="100"/>
        <item x="179"/>
        <item x="206"/>
        <item x="251"/>
        <item x="170"/>
        <item x="115"/>
        <item x="50"/>
        <item x="152"/>
        <item x="119"/>
        <item x="34"/>
        <item x="159"/>
        <item x="29"/>
        <item x="139"/>
        <item x="146"/>
        <item x="167"/>
        <item x="228"/>
        <item x="271"/>
        <item x="81"/>
        <item x="15"/>
        <item x="257"/>
        <item x="137"/>
        <item x="278"/>
        <item x="196"/>
        <item x="216"/>
        <item x="111"/>
        <item x="256"/>
        <item x="177"/>
        <item x="23"/>
        <item x="45"/>
        <item x="267"/>
        <item x="82"/>
        <item x="284"/>
        <item x="215"/>
        <item x="127"/>
        <item x="57"/>
        <item x="133"/>
        <item x="217"/>
        <item x="277"/>
        <item x="1"/>
        <item x="272"/>
        <item x="205"/>
        <item x="184"/>
        <item x="14"/>
        <item x="150"/>
        <item x="53"/>
        <item x="69"/>
        <item x="54"/>
        <item x="282"/>
        <item x="39"/>
        <item x="238"/>
        <item x="190"/>
        <item x="49"/>
        <item x="168"/>
        <item x="236"/>
        <item x="121"/>
        <item x="203"/>
        <item x="173"/>
        <item x="43"/>
        <item x="138"/>
        <item x="148"/>
        <item x="219"/>
        <item x="68"/>
        <item x="194"/>
        <item x="96"/>
        <item x="153"/>
        <item x="90"/>
        <item x="160"/>
        <item x="142"/>
        <item x="255"/>
        <item x="151"/>
        <item x="136"/>
        <item x="8"/>
        <item x="19"/>
        <item x="79"/>
        <item x="89"/>
        <item x="176"/>
        <item x="145"/>
        <item x="56"/>
        <item x="71"/>
        <item x="285"/>
        <item x="107"/>
        <item x="93"/>
        <item x="22"/>
        <item x="279"/>
        <item x="131"/>
        <item x="200"/>
        <item x="287"/>
        <item x="175"/>
        <item x="18"/>
        <item x="161"/>
        <item x="169"/>
        <item x="51"/>
        <item x="140"/>
        <item x="227"/>
        <item x="198"/>
        <item x="157"/>
        <item x="232"/>
        <item x="288"/>
        <item x="193"/>
        <item x="234"/>
        <item x="78"/>
        <item x="222"/>
        <item x="265"/>
        <item x="86"/>
        <item x="263"/>
        <item x="149"/>
        <item x="225"/>
        <item x="212"/>
        <item x="166"/>
        <item x="85"/>
        <item x="162"/>
        <item x="3"/>
        <item x="174"/>
        <item x="74"/>
        <item x="38"/>
        <item x="10"/>
        <item x="134"/>
        <item x="47"/>
        <item x="12"/>
        <item x="73"/>
        <item x="220"/>
        <item x="231"/>
        <item t="default"/>
      </items>
    </pivotField>
    <pivotField showAll="0"/>
    <pivotField showAll="0"/>
    <pivotField numFmtId="6" showAll="0"/>
    <pivotField showAll="0"/>
    <pivotField numFmtId="6" showAll="0"/>
    <pivotField showAll="0"/>
    <pivotField numFmtId="14" showAll="0"/>
    <pivotField showAll="0"/>
    <pivotField showAll="0"/>
    <pivotField axis="axisPage" multipleItemSelectionAllowed="1" showAll="0">
      <items count="12">
        <item h="1" x="10"/>
        <item h="1" x="5"/>
        <item h="1" x="0"/>
        <item h="1" x="7"/>
        <item h="1" x="3"/>
        <item h="1" x="1"/>
        <item x="8"/>
        <item x="2"/>
        <item x="6"/>
        <item x="4"/>
        <item x="9"/>
        <item t="default"/>
      </items>
    </pivotField>
    <pivotField showAll="0">
      <items count="3">
        <item x="0"/>
        <item x="1"/>
        <item t="default"/>
      </items>
    </pivotField>
    <pivotField axis="axisRow" showAll="0">
      <items count="3">
        <item x="0"/>
        <item x="1"/>
        <item t="default"/>
      </items>
    </pivotField>
    <pivotField showAll="0"/>
  </pivotFields>
  <rowFields count="1">
    <field x="12"/>
  </rowFields>
  <rowItems count="3">
    <i>
      <x/>
    </i>
    <i>
      <x v="1"/>
    </i>
    <i t="grand">
      <x/>
    </i>
  </rowItems>
  <colItems count="1">
    <i/>
  </colItems>
  <pageFields count="1">
    <pageField fld="10" hier="-1"/>
  </pageFields>
  <dataFields count="1">
    <dataField name="Count of ID - Utente" fld="0" subtotal="count" baseField="0" baseItem="0"/>
  </dataFields>
  <formats count="4">
    <format dxfId="3">
      <pivotArea field="0" type="button" dataOnly="0" labelOnly="1" outline="0"/>
    </format>
    <format dxfId="2">
      <pivotArea dataOnly="0" labelOnly="1" outline="0" axis="axisValues" fieldPosition="0"/>
    </format>
    <format dxfId="1">
      <pivotArea field="0" type="button" dataOnly="0" labelOnly="1" outline="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3217B2B-7015-A245-B3C4-D8DBA131D7F9}" name="PivotTable6" cacheId="35"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 rowHeaderCaption="Rent - Auto">
  <location ref="E7:F10" firstHeaderRow="1" firstDataRow="1" firstDataCol="1" rowPageCount="1" colPageCount="1"/>
  <pivotFields count="14">
    <pivotField dataField="1" showAll="0">
      <items count="290">
        <item x="209"/>
        <item x="28"/>
        <item x="242"/>
        <item x="181"/>
        <item x="202"/>
        <item x="70"/>
        <item x="286"/>
        <item x="11"/>
        <item x="252"/>
        <item x="55"/>
        <item x="283"/>
        <item x="6"/>
        <item x="172"/>
        <item x="156"/>
        <item x="65"/>
        <item x="235"/>
        <item x="75"/>
        <item x="276"/>
        <item x="191"/>
        <item x="233"/>
        <item x="60"/>
        <item x="171"/>
        <item x="158"/>
        <item x="154"/>
        <item x="104"/>
        <item x="244"/>
        <item x="270"/>
        <item x="180"/>
        <item x="105"/>
        <item x="254"/>
        <item x="195"/>
        <item x="92"/>
        <item x="31"/>
        <item x="126"/>
        <item x="264"/>
        <item x="248"/>
        <item x="109"/>
        <item x="58"/>
        <item x="237"/>
        <item x="99"/>
        <item x="77"/>
        <item x="59"/>
        <item x="163"/>
        <item x="64"/>
        <item x="44"/>
        <item x="9"/>
        <item x="281"/>
        <item x="41"/>
        <item x="218"/>
        <item x="273"/>
        <item x="20"/>
        <item x="274"/>
        <item x="33"/>
        <item x="103"/>
        <item x="114"/>
        <item x="253"/>
        <item x="261"/>
        <item x="210"/>
        <item x="76"/>
        <item x="97"/>
        <item x="258"/>
        <item x="241"/>
        <item x="72"/>
        <item x="207"/>
        <item x="240"/>
        <item x="189"/>
        <item x="147"/>
        <item x="187"/>
        <item x="7"/>
        <item x="135"/>
        <item x="246"/>
        <item x="26"/>
        <item x="165"/>
        <item x="259"/>
        <item x="102"/>
        <item x="63"/>
        <item x="113"/>
        <item x="221"/>
        <item x="269"/>
        <item x="214"/>
        <item x="129"/>
        <item x="118"/>
        <item x="120"/>
        <item x="91"/>
        <item x="224"/>
        <item x="192"/>
        <item x="94"/>
        <item x="37"/>
        <item x="84"/>
        <item x="95"/>
        <item x="98"/>
        <item x="130"/>
        <item x="124"/>
        <item x="243"/>
        <item x="266"/>
        <item x="141"/>
        <item x="30"/>
        <item x="40"/>
        <item x="42"/>
        <item x="25"/>
        <item x="188"/>
        <item x="35"/>
        <item x="62"/>
        <item x="245"/>
        <item x="213"/>
        <item x="13"/>
        <item x="17"/>
        <item x="27"/>
        <item x="24"/>
        <item x="110"/>
        <item x="201"/>
        <item x="186"/>
        <item x="185"/>
        <item x="32"/>
        <item x="125"/>
        <item x="52"/>
        <item x="239"/>
        <item x="66"/>
        <item x="208"/>
        <item x="122"/>
        <item x="250"/>
        <item x="223"/>
        <item x="260"/>
        <item x="116"/>
        <item x="46"/>
        <item x="280"/>
        <item x="101"/>
        <item x="21"/>
        <item x="155"/>
        <item x="16"/>
        <item x="2"/>
        <item x="249"/>
        <item x="132"/>
        <item x="106"/>
        <item x="197"/>
        <item x="67"/>
        <item x="275"/>
        <item x="48"/>
        <item x="182"/>
        <item x="268"/>
        <item x="229"/>
        <item x="0"/>
        <item x="230"/>
        <item x="123"/>
        <item x="112"/>
        <item x="164"/>
        <item x="36"/>
        <item x="199"/>
        <item x="143"/>
        <item x="83"/>
        <item x="144"/>
        <item x="4"/>
        <item x="226"/>
        <item x="128"/>
        <item x="247"/>
        <item x="87"/>
        <item x="88"/>
        <item x="80"/>
        <item x="211"/>
        <item x="5"/>
        <item x="108"/>
        <item x="117"/>
        <item x="61"/>
        <item x="178"/>
        <item x="183"/>
        <item x="204"/>
        <item x="262"/>
        <item x="100"/>
        <item x="179"/>
        <item x="206"/>
        <item x="251"/>
        <item x="170"/>
        <item x="115"/>
        <item x="50"/>
        <item x="152"/>
        <item x="119"/>
        <item x="34"/>
        <item x="159"/>
        <item x="29"/>
        <item x="139"/>
        <item x="146"/>
        <item x="167"/>
        <item x="228"/>
        <item x="271"/>
        <item x="81"/>
        <item x="15"/>
        <item x="257"/>
        <item x="137"/>
        <item x="278"/>
        <item x="196"/>
        <item x="216"/>
        <item x="111"/>
        <item x="256"/>
        <item x="177"/>
        <item x="23"/>
        <item x="45"/>
        <item x="267"/>
        <item x="82"/>
        <item x="284"/>
        <item x="215"/>
        <item x="127"/>
        <item x="57"/>
        <item x="133"/>
        <item x="217"/>
        <item x="277"/>
        <item x="1"/>
        <item x="272"/>
        <item x="205"/>
        <item x="184"/>
        <item x="14"/>
        <item x="150"/>
        <item x="53"/>
        <item x="69"/>
        <item x="54"/>
        <item x="282"/>
        <item x="39"/>
        <item x="238"/>
        <item x="190"/>
        <item x="49"/>
        <item x="168"/>
        <item x="236"/>
        <item x="121"/>
        <item x="203"/>
        <item x="173"/>
        <item x="43"/>
        <item x="138"/>
        <item x="148"/>
        <item x="219"/>
        <item x="68"/>
        <item x="194"/>
        <item x="96"/>
        <item x="153"/>
        <item x="90"/>
        <item x="160"/>
        <item x="142"/>
        <item x="255"/>
        <item x="151"/>
        <item x="136"/>
        <item x="8"/>
        <item x="19"/>
        <item x="79"/>
        <item x="89"/>
        <item x="176"/>
        <item x="145"/>
        <item x="56"/>
        <item x="71"/>
        <item x="285"/>
        <item x="107"/>
        <item x="93"/>
        <item x="22"/>
        <item x="279"/>
        <item x="131"/>
        <item x="200"/>
        <item x="287"/>
        <item x="175"/>
        <item x="18"/>
        <item x="161"/>
        <item x="169"/>
        <item x="51"/>
        <item x="140"/>
        <item x="227"/>
        <item x="198"/>
        <item x="157"/>
        <item x="232"/>
        <item x="288"/>
        <item x="193"/>
        <item x="234"/>
        <item x="78"/>
        <item x="222"/>
        <item x="265"/>
        <item x="86"/>
        <item x="263"/>
        <item x="149"/>
        <item x="225"/>
        <item x="212"/>
        <item x="166"/>
        <item x="85"/>
        <item x="162"/>
        <item x="3"/>
        <item x="174"/>
        <item x="74"/>
        <item x="38"/>
        <item x="10"/>
        <item x="134"/>
        <item x="47"/>
        <item x="12"/>
        <item x="73"/>
        <item x="220"/>
        <item x="231"/>
        <item t="default"/>
      </items>
    </pivotField>
    <pivotField showAll="0"/>
    <pivotField showAll="0"/>
    <pivotField numFmtId="6" showAll="0"/>
    <pivotField showAll="0"/>
    <pivotField numFmtId="6" showAll="0"/>
    <pivotField showAll="0"/>
    <pivotField numFmtId="14" showAll="0"/>
    <pivotField showAll="0"/>
    <pivotField showAll="0"/>
    <pivotField axis="axisPage" multipleItemSelectionAllowed="1" showAll="0">
      <items count="12">
        <item h="1" x="10"/>
        <item h="1" x="5"/>
        <item h="1" x="0"/>
        <item h="1" x="7"/>
        <item h="1" x="3"/>
        <item h="1" x="1"/>
        <item x="8"/>
        <item x="2"/>
        <item x="6"/>
        <item x="4"/>
        <item x="9"/>
        <item t="default"/>
      </items>
    </pivotField>
    <pivotField axis="axisRow" showAll="0">
      <items count="3">
        <item x="0"/>
        <item x="1"/>
        <item t="default"/>
      </items>
    </pivotField>
    <pivotField showAll="0"/>
    <pivotField showAll="0"/>
  </pivotFields>
  <rowFields count="1">
    <field x="11"/>
  </rowFields>
  <rowItems count="3">
    <i>
      <x/>
    </i>
    <i>
      <x v="1"/>
    </i>
    <i t="grand">
      <x/>
    </i>
  </rowItems>
  <colItems count="1">
    <i/>
  </colItems>
  <pageFields count="1">
    <pageField fld="10" hier="-1"/>
  </pageFields>
  <dataFields count="1">
    <dataField name="Count of ID - Utente" fld="0" subtotal="count" baseField="0" baseItem="0"/>
  </dataFields>
  <formats count="4">
    <format dxfId="7">
      <pivotArea field="0" type="button" dataOnly="0" labelOnly="1" outline="0"/>
    </format>
    <format dxfId="6">
      <pivotArea dataOnly="0" labelOnly="1" outline="0" axis="axisValues" fieldPosition="0"/>
    </format>
    <format dxfId="5">
      <pivotArea field="0" type="button" dataOnly="0" labelOnly="1" outline="0"/>
    </format>
    <format dxfId="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58EB7BB-EFDF-0B47-A2D8-92A9F343D949}" name="PivotTable4" cacheId="35"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
  <location ref="A5:B222" firstHeaderRow="1" firstDataRow="1" firstDataCol="1"/>
  <pivotFields count="14">
    <pivotField axis="axisRow" showAll="0" measureFilter="1" sortType="descending">
      <items count="290">
        <item x="209"/>
        <item x="28"/>
        <item x="242"/>
        <item x="181"/>
        <item x="202"/>
        <item x="70"/>
        <item x="286"/>
        <item x="11"/>
        <item x="252"/>
        <item x="55"/>
        <item x="283"/>
        <item x="6"/>
        <item x="172"/>
        <item x="156"/>
        <item x="65"/>
        <item x="235"/>
        <item x="75"/>
        <item x="276"/>
        <item x="191"/>
        <item x="233"/>
        <item x="60"/>
        <item x="171"/>
        <item x="158"/>
        <item x="154"/>
        <item x="104"/>
        <item x="244"/>
        <item x="270"/>
        <item x="180"/>
        <item x="105"/>
        <item x="254"/>
        <item x="195"/>
        <item x="92"/>
        <item x="31"/>
        <item x="126"/>
        <item x="264"/>
        <item x="248"/>
        <item x="109"/>
        <item x="58"/>
        <item x="237"/>
        <item x="99"/>
        <item x="77"/>
        <item x="59"/>
        <item x="163"/>
        <item x="64"/>
        <item x="44"/>
        <item x="9"/>
        <item x="281"/>
        <item x="41"/>
        <item x="218"/>
        <item x="273"/>
        <item x="20"/>
        <item x="274"/>
        <item x="33"/>
        <item x="103"/>
        <item x="114"/>
        <item x="253"/>
        <item x="261"/>
        <item x="210"/>
        <item x="76"/>
        <item x="97"/>
        <item x="258"/>
        <item x="241"/>
        <item x="72"/>
        <item x="207"/>
        <item x="240"/>
        <item x="189"/>
        <item x="147"/>
        <item x="187"/>
        <item x="7"/>
        <item x="135"/>
        <item x="246"/>
        <item x="26"/>
        <item x="165"/>
        <item x="259"/>
        <item x="102"/>
        <item x="63"/>
        <item x="113"/>
        <item x="221"/>
        <item x="269"/>
        <item x="214"/>
        <item x="129"/>
        <item x="118"/>
        <item x="120"/>
        <item x="91"/>
        <item x="224"/>
        <item x="192"/>
        <item x="94"/>
        <item x="37"/>
        <item x="84"/>
        <item x="95"/>
        <item x="98"/>
        <item x="130"/>
        <item x="124"/>
        <item x="243"/>
        <item x="266"/>
        <item x="141"/>
        <item x="30"/>
        <item x="40"/>
        <item x="42"/>
        <item x="25"/>
        <item x="188"/>
        <item x="35"/>
        <item x="62"/>
        <item x="245"/>
        <item x="213"/>
        <item x="13"/>
        <item x="17"/>
        <item x="27"/>
        <item x="24"/>
        <item x="110"/>
        <item x="201"/>
        <item x="186"/>
        <item x="185"/>
        <item x="32"/>
        <item x="125"/>
        <item x="52"/>
        <item x="239"/>
        <item x="66"/>
        <item x="208"/>
        <item x="122"/>
        <item x="250"/>
        <item x="223"/>
        <item x="260"/>
        <item x="116"/>
        <item x="46"/>
        <item x="280"/>
        <item x="101"/>
        <item x="21"/>
        <item x="155"/>
        <item x="16"/>
        <item x="2"/>
        <item x="249"/>
        <item x="132"/>
        <item x="106"/>
        <item x="197"/>
        <item x="67"/>
        <item x="275"/>
        <item x="48"/>
        <item x="182"/>
        <item x="268"/>
        <item x="229"/>
        <item x="0"/>
        <item x="230"/>
        <item x="123"/>
        <item x="112"/>
        <item x="164"/>
        <item x="36"/>
        <item x="199"/>
        <item x="143"/>
        <item x="83"/>
        <item x="144"/>
        <item x="4"/>
        <item x="226"/>
        <item x="128"/>
        <item x="247"/>
        <item x="87"/>
        <item x="88"/>
        <item x="80"/>
        <item x="211"/>
        <item x="5"/>
        <item x="108"/>
        <item x="117"/>
        <item x="61"/>
        <item x="178"/>
        <item x="183"/>
        <item x="204"/>
        <item x="262"/>
        <item x="100"/>
        <item x="179"/>
        <item x="206"/>
        <item x="251"/>
        <item x="170"/>
        <item x="115"/>
        <item x="50"/>
        <item x="152"/>
        <item x="119"/>
        <item x="34"/>
        <item x="159"/>
        <item x="29"/>
        <item x="139"/>
        <item x="146"/>
        <item x="167"/>
        <item x="228"/>
        <item x="271"/>
        <item x="81"/>
        <item x="15"/>
        <item x="257"/>
        <item x="137"/>
        <item x="278"/>
        <item x="196"/>
        <item x="216"/>
        <item x="111"/>
        <item x="256"/>
        <item x="177"/>
        <item x="23"/>
        <item x="45"/>
        <item x="267"/>
        <item x="82"/>
        <item x="284"/>
        <item x="215"/>
        <item x="127"/>
        <item x="57"/>
        <item x="133"/>
        <item x="217"/>
        <item x="277"/>
        <item x="1"/>
        <item x="272"/>
        <item x="205"/>
        <item x="184"/>
        <item x="14"/>
        <item x="150"/>
        <item x="53"/>
        <item x="69"/>
        <item x="54"/>
        <item x="282"/>
        <item x="39"/>
        <item x="238"/>
        <item x="190"/>
        <item x="49"/>
        <item x="168"/>
        <item x="236"/>
        <item x="121"/>
        <item x="203"/>
        <item x="173"/>
        <item x="43"/>
        <item x="138"/>
        <item x="148"/>
        <item x="219"/>
        <item x="68"/>
        <item x="194"/>
        <item x="96"/>
        <item x="153"/>
        <item x="90"/>
        <item x="160"/>
        <item x="142"/>
        <item x="255"/>
        <item x="151"/>
        <item x="136"/>
        <item x="8"/>
        <item x="19"/>
        <item x="79"/>
        <item x="89"/>
        <item x="176"/>
        <item x="145"/>
        <item x="56"/>
        <item x="71"/>
        <item x="285"/>
        <item x="107"/>
        <item x="93"/>
        <item x="22"/>
        <item x="279"/>
        <item x="131"/>
        <item x="200"/>
        <item x="287"/>
        <item x="175"/>
        <item x="18"/>
        <item x="161"/>
        <item x="169"/>
        <item x="51"/>
        <item x="140"/>
        <item x="227"/>
        <item x="198"/>
        <item x="157"/>
        <item x="232"/>
        <item x="288"/>
        <item x="193"/>
        <item x="234"/>
        <item x="78"/>
        <item x="222"/>
        <item x="265"/>
        <item x="86"/>
        <item x="263"/>
        <item x="149"/>
        <item x="225"/>
        <item x="212"/>
        <item x="166"/>
        <item x="85"/>
        <item x="162"/>
        <item x="3"/>
        <item x="174"/>
        <item x="74"/>
        <item x="38"/>
        <item x="10"/>
        <item x="134"/>
        <item x="47"/>
        <item x="12"/>
        <item x="73"/>
        <item x="220"/>
        <item x="231"/>
        <item t="default"/>
      </items>
      <autoSortScope>
        <pivotArea dataOnly="0" outline="0" fieldPosition="0">
          <references count="1">
            <reference field="4294967294" count="1" selected="0">
              <x v="0"/>
            </reference>
          </references>
        </pivotArea>
      </autoSortScope>
    </pivotField>
    <pivotField showAll="0"/>
    <pivotField showAll="0"/>
    <pivotField numFmtId="6" showAll="0"/>
    <pivotField showAll="0"/>
    <pivotField dataField="1" numFmtId="6" showAll="0"/>
    <pivotField showAll="0"/>
    <pivotField numFmtId="14" showAll="0"/>
    <pivotField showAll="0"/>
    <pivotField showAll="0"/>
    <pivotField showAll="0"/>
    <pivotField showAll="0"/>
    <pivotField showAll="0"/>
    <pivotField showAll="0"/>
  </pivotFields>
  <rowFields count="1">
    <field x="0"/>
  </rowFields>
  <rowItems count="217">
    <i>
      <x v="128"/>
    </i>
    <i>
      <x v="16"/>
    </i>
    <i>
      <x v="71"/>
    </i>
    <i>
      <x v="158"/>
    </i>
    <i>
      <x v="46"/>
    </i>
    <i>
      <x v="81"/>
    </i>
    <i>
      <x v="178"/>
    </i>
    <i>
      <x v="95"/>
    </i>
    <i>
      <x v="243"/>
    </i>
    <i>
      <x v="68"/>
    </i>
    <i>
      <x v="118"/>
    </i>
    <i>
      <x v="108"/>
    </i>
    <i>
      <x v="91"/>
    </i>
    <i>
      <x v="207"/>
    </i>
    <i>
      <x v="19"/>
    </i>
    <i>
      <x v="73"/>
    </i>
    <i>
      <x v="42"/>
    </i>
    <i>
      <x v="1"/>
    </i>
    <i>
      <x v="155"/>
    </i>
    <i>
      <x v="34"/>
    </i>
    <i>
      <x v="236"/>
    </i>
    <i>
      <x v="116"/>
    </i>
    <i>
      <x v="223"/>
    </i>
    <i>
      <x v="220"/>
    </i>
    <i>
      <x v="285"/>
    </i>
    <i>
      <x v="100"/>
    </i>
    <i>
      <x v="52"/>
    </i>
    <i>
      <x v="39"/>
    </i>
    <i>
      <x v="29"/>
    </i>
    <i>
      <x v="60"/>
    </i>
    <i>
      <x v="196"/>
    </i>
    <i>
      <x v="21"/>
    </i>
    <i>
      <x v="86"/>
    </i>
    <i>
      <x v="36"/>
    </i>
    <i>
      <x v="145"/>
    </i>
    <i>
      <x v="150"/>
    </i>
    <i>
      <x v="98"/>
    </i>
    <i>
      <x v="248"/>
    </i>
    <i>
      <x v="183"/>
    </i>
    <i>
      <x v="215"/>
    </i>
    <i>
      <x v="97"/>
    </i>
    <i>
      <x v="154"/>
    </i>
    <i>
      <x v="59"/>
    </i>
    <i>
      <x v="166"/>
    </i>
    <i>
      <x v="267"/>
    </i>
    <i>
      <x v="172"/>
    </i>
    <i>
      <x v="96"/>
    </i>
    <i>
      <x v="25"/>
    </i>
    <i>
      <x v="63"/>
    </i>
    <i>
      <x v="51"/>
    </i>
    <i>
      <x v="165"/>
    </i>
    <i>
      <x v="197"/>
    </i>
    <i>
      <x v="214"/>
    </i>
    <i>
      <x v="222"/>
    </i>
    <i>
      <x v="85"/>
    </i>
    <i>
      <x v="35"/>
    </i>
    <i>
      <x v="55"/>
    </i>
    <i>
      <x v="163"/>
    </i>
    <i>
      <x v="247"/>
    </i>
    <i>
      <x v="26"/>
    </i>
    <i>
      <x v="115"/>
    </i>
    <i>
      <x v="157"/>
    </i>
    <i>
      <x v="107"/>
    </i>
    <i>
      <x v="61"/>
    </i>
    <i>
      <x v="176"/>
    </i>
    <i>
      <x v="273"/>
    </i>
    <i>
      <x v="182"/>
    </i>
    <i>
      <x v="69"/>
    </i>
    <i>
      <x v="17"/>
    </i>
    <i>
      <x v="217"/>
    </i>
    <i>
      <x v="141"/>
    </i>
    <i>
      <x v="225"/>
    </i>
    <i>
      <x v="187"/>
    </i>
    <i>
      <x v="259"/>
    </i>
    <i>
      <x v="12"/>
    </i>
    <i>
      <x v="56"/>
    </i>
    <i>
      <x v="102"/>
    </i>
    <i>
      <x v="195"/>
    </i>
    <i>
      <x v="149"/>
    </i>
    <i>
      <x v="237"/>
    </i>
    <i>
      <x v="89"/>
    </i>
    <i>
      <x v="257"/>
    </i>
    <i>
      <x v="203"/>
    </i>
    <i>
      <x v="240"/>
    </i>
    <i>
      <x v="260"/>
    </i>
    <i>
      <x v="258"/>
    </i>
    <i>
      <x v="99"/>
    </i>
    <i>
      <x v="90"/>
    </i>
    <i>
      <x v="76"/>
    </i>
    <i>
      <x v="28"/>
    </i>
    <i>
      <x v="30"/>
    </i>
    <i>
      <x v="282"/>
    </i>
    <i>
      <x v="284"/>
    </i>
    <i>
      <x v="268"/>
    </i>
    <i>
      <x v="179"/>
    </i>
    <i>
      <x v="193"/>
    </i>
    <i>
      <x v="271"/>
    </i>
    <i>
      <x v="232"/>
    </i>
    <i>
      <x v="265"/>
    </i>
    <i>
      <x v="204"/>
    </i>
    <i>
      <x v="47"/>
    </i>
    <i>
      <x v="20"/>
    </i>
    <i>
      <x v="7"/>
    </i>
    <i>
      <x v="270"/>
    </i>
    <i>
      <x v="114"/>
    </i>
    <i>
      <x v="206"/>
    </i>
    <i>
      <x v="210"/>
    </i>
    <i>
      <x v="280"/>
    </i>
    <i>
      <x v="263"/>
    </i>
    <i>
      <x v="148"/>
    </i>
    <i>
      <x v="156"/>
    </i>
    <i>
      <x v="101"/>
    </i>
    <i>
      <x v="138"/>
    </i>
    <i>
      <x v="160"/>
    </i>
    <i>
      <x v="230"/>
    </i>
    <i>
      <x v="181"/>
    </i>
    <i>
      <x v="2"/>
    </i>
    <i>
      <x v="82"/>
    </i>
    <i>
      <x v="105"/>
    </i>
    <i>
      <x v="264"/>
    </i>
    <i>
      <x v="127"/>
    </i>
    <i>
      <x v="22"/>
    </i>
    <i>
      <x v="209"/>
    </i>
    <i>
      <x v="121"/>
    </i>
    <i>
      <x v="153"/>
    </i>
    <i>
      <x v="201"/>
    </i>
    <i>
      <x v="93"/>
    </i>
    <i>
      <x v="152"/>
    </i>
    <i>
      <x v="23"/>
    </i>
    <i>
      <x v="288"/>
    </i>
    <i>
      <x v="162"/>
    </i>
    <i>
      <x v="74"/>
    </i>
    <i>
      <x v="252"/>
    </i>
    <i>
      <x v="11"/>
    </i>
    <i>
      <x v="111"/>
    </i>
    <i>
      <x v="253"/>
    </i>
    <i>
      <x v="174"/>
    </i>
    <i>
      <x v="194"/>
    </i>
    <i>
      <x v="137"/>
    </i>
    <i>
      <x v="186"/>
    </i>
    <i>
      <x v="161"/>
    </i>
    <i>
      <x v="185"/>
    </i>
    <i>
      <x v="202"/>
    </i>
    <i>
      <x v="171"/>
    </i>
    <i>
      <x v="200"/>
    </i>
    <i>
      <x v="229"/>
    </i>
    <i>
      <x v="227"/>
    </i>
    <i>
      <x v="212"/>
    </i>
    <i>
      <x v="27"/>
    </i>
    <i>
      <x v="130"/>
    </i>
    <i>
      <x v="184"/>
    </i>
    <i>
      <x v="133"/>
    </i>
    <i>
      <x v="139"/>
    </i>
    <i>
      <x v="135"/>
    </i>
    <i>
      <x v="125"/>
    </i>
    <i>
      <x v="274"/>
    </i>
    <i>
      <x v="255"/>
    </i>
    <i>
      <x v="278"/>
    </i>
    <i>
      <x v="244"/>
    </i>
    <i>
      <x v="164"/>
    </i>
    <i>
      <x v="106"/>
    </i>
    <i>
      <x v="286"/>
    </i>
    <i>
      <x v="5"/>
    </i>
    <i>
      <x v="287"/>
    </i>
    <i>
      <x v="31"/>
    </i>
    <i>
      <x v="279"/>
    </i>
    <i>
      <x v="87"/>
    </i>
    <i>
      <x v="283"/>
    </i>
    <i>
      <x v="277"/>
    </i>
    <i>
      <x v="117"/>
    </i>
    <i>
      <x v="80"/>
    </i>
    <i>
      <x v="205"/>
    </i>
    <i>
      <x v="44"/>
    </i>
    <i>
      <x v="120"/>
    </i>
    <i>
      <x v="198"/>
    </i>
    <i>
      <x v="49"/>
    </i>
    <i>
      <x v="32"/>
    </i>
    <i>
      <x v="142"/>
    </i>
    <i>
      <x v="147"/>
    </i>
    <i>
      <x v="256"/>
    </i>
    <i>
      <x v="33"/>
    </i>
    <i>
      <x v="88"/>
    </i>
    <i>
      <x v="151"/>
    </i>
    <i>
      <x v="191"/>
    </i>
    <i>
      <x v="242"/>
    </i>
    <i>
      <x v="77"/>
    </i>
    <i>
      <x v="48"/>
    </i>
    <i>
      <x v="228"/>
    </i>
    <i>
      <x v="109"/>
    </i>
    <i>
      <x v="62"/>
    </i>
    <i>
      <x v="241"/>
    </i>
    <i>
      <x v="129"/>
    </i>
    <i>
      <x v="169"/>
    </i>
    <i>
      <x v="245"/>
    </i>
    <i>
      <x v="50"/>
    </i>
    <i>
      <x v="14"/>
    </i>
    <i>
      <x v="226"/>
    </i>
    <i>
      <x v="66"/>
    </i>
    <i>
      <x v="18"/>
    </i>
    <i>
      <x v="6"/>
    </i>
    <i>
      <x v="40"/>
    </i>
    <i>
      <x v="72"/>
    </i>
    <i>
      <x v="180"/>
    </i>
    <i>
      <x v="113"/>
    </i>
    <i>
      <x v="103"/>
    </i>
    <i>
      <x v="131"/>
    </i>
    <i>
      <x v="266"/>
    </i>
    <i>
      <x v="199"/>
    </i>
    <i>
      <x v="213"/>
    </i>
    <i>
      <x v="13"/>
    </i>
    <i>
      <x v="238"/>
    </i>
    <i>
      <x v="281"/>
    </i>
    <i>
      <x v="221"/>
    </i>
    <i>
      <x/>
    </i>
    <i>
      <x v="78"/>
    </i>
    <i>
      <x v="168"/>
    </i>
    <i t="grand">
      <x/>
    </i>
  </rowItems>
  <colItems count="1">
    <i/>
  </colItems>
  <dataFields count="1">
    <dataField name="Sum of Spesa totale per ogni utente " fld="5" baseField="0" baseItem="0" numFmtId="6"/>
  </dataFields>
  <formats count="2">
    <format dxfId="9">
      <pivotArea field="0" type="button" dataOnly="0" labelOnly="1" outline="0" axis="axisRow" fieldPosition="0"/>
    </format>
    <format dxfId="8">
      <pivotArea dataOnly="0" labelOnly="1" outline="0" axis="axisValues" fieldPosition="0"/>
    </format>
  </formats>
  <pivotTableStyleInfo name="PivotStyleLight16" showRowHeaders="1" showColHeaders="1" showRowStripes="0" showColStripes="0" showLastColumn="1"/>
  <filters count="1">
    <filter fld="0" type="valueGreaterThan" evalOrder="-1" id="13" iMeasureFld="0">
      <autoFilter ref="A1">
        <filterColumn colId="0">
          <customFilters>
            <customFilter operator="greaterThan" val="30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8C70A05-1F9E-8645-B0F2-AE7737A2240E}" name="PivotTable9" cacheId="35"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
  <location ref="I8:J13" firstHeaderRow="1" firstDataRow="1" firstDataCol="1" rowPageCount="2" colPageCount="1"/>
  <pivotFields count="14">
    <pivotField dataField="1" showAll="0">
      <items count="290">
        <item x="209"/>
        <item x="28"/>
        <item x="242"/>
        <item x="181"/>
        <item x="202"/>
        <item x="70"/>
        <item x="286"/>
        <item x="11"/>
        <item x="252"/>
        <item x="55"/>
        <item x="283"/>
        <item x="6"/>
        <item x="172"/>
        <item x="156"/>
        <item x="65"/>
        <item x="235"/>
        <item x="75"/>
        <item x="276"/>
        <item x="191"/>
        <item x="233"/>
        <item x="60"/>
        <item x="171"/>
        <item x="158"/>
        <item x="154"/>
        <item x="104"/>
        <item x="244"/>
        <item x="270"/>
        <item x="180"/>
        <item x="105"/>
        <item x="254"/>
        <item x="195"/>
        <item x="92"/>
        <item x="31"/>
        <item x="126"/>
        <item x="264"/>
        <item x="248"/>
        <item x="109"/>
        <item x="58"/>
        <item x="237"/>
        <item x="99"/>
        <item x="77"/>
        <item x="59"/>
        <item x="163"/>
        <item x="64"/>
        <item x="44"/>
        <item x="9"/>
        <item x="281"/>
        <item x="41"/>
        <item x="218"/>
        <item x="273"/>
        <item x="20"/>
        <item x="274"/>
        <item x="33"/>
        <item x="103"/>
        <item x="114"/>
        <item x="253"/>
        <item x="261"/>
        <item x="210"/>
        <item x="76"/>
        <item x="97"/>
        <item x="258"/>
        <item x="241"/>
        <item x="72"/>
        <item x="207"/>
        <item x="240"/>
        <item x="189"/>
        <item x="147"/>
        <item x="187"/>
        <item x="7"/>
        <item x="135"/>
        <item x="246"/>
        <item x="26"/>
        <item x="165"/>
        <item x="259"/>
        <item x="102"/>
        <item x="63"/>
        <item x="113"/>
        <item x="221"/>
        <item x="269"/>
        <item x="214"/>
        <item x="129"/>
        <item x="118"/>
        <item x="120"/>
        <item x="91"/>
        <item x="224"/>
        <item x="192"/>
        <item x="94"/>
        <item x="37"/>
        <item x="84"/>
        <item x="95"/>
        <item x="98"/>
        <item x="130"/>
        <item x="124"/>
        <item x="243"/>
        <item x="266"/>
        <item x="141"/>
        <item x="30"/>
        <item x="40"/>
        <item x="42"/>
        <item x="25"/>
        <item x="188"/>
        <item x="35"/>
        <item x="62"/>
        <item x="245"/>
        <item x="213"/>
        <item x="13"/>
        <item x="17"/>
        <item x="27"/>
        <item x="24"/>
        <item x="110"/>
        <item x="201"/>
        <item x="186"/>
        <item x="185"/>
        <item x="32"/>
        <item x="125"/>
        <item x="52"/>
        <item x="239"/>
        <item x="66"/>
        <item x="208"/>
        <item x="122"/>
        <item x="250"/>
        <item x="223"/>
        <item x="260"/>
        <item x="116"/>
        <item x="46"/>
        <item x="280"/>
        <item x="101"/>
        <item x="21"/>
        <item x="155"/>
        <item x="16"/>
        <item x="2"/>
        <item x="249"/>
        <item x="132"/>
        <item x="106"/>
        <item x="197"/>
        <item x="67"/>
        <item x="275"/>
        <item x="48"/>
        <item x="182"/>
        <item x="268"/>
        <item x="229"/>
        <item x="0"/>
        <item x="230"/>
        <item x="123"/>
        <item x="112"/>
        <item x="164"/>
        <item x="36"/>
        <item x="199"/>
        <item x="143"/>
        <item x="83"/>
        <item x="144"/>
        <item x="4"/>
        <item x="226"/>
        <item x="128"/>
        <item x="247"/>
        <item x="87"/>
        <item x="88"/>
        <item x="80"/>
        <item x="211"/>
        <item x="5"/>
        <item x="108"/>
        <item x="117"/>
        <item x="61"/>
        <item x="178"/>
        <item x="183"/>
        <item x="204"/>
        <item x="262"/>
        <item x="100"/>
        <item x="179"/>
        <item x="206"/>
        <item x="251"/>
        <item x="170"/>
        <item x="115"/>
        <item x="50"/>
        <item x="152"/>
        <item x="119"/>
        <item x="34"/>
        <item x="159"/>
        <item x="29"/>
        <item x="139"/>
        <item x="146"/>
        <item x="167"/>
        <item x="228"/>
        <item x="271"/>
        <item x="81"/>
        <item x="15"/>
        <item x="257"/>
        <item x="137"/>
        <item x="278"/>
        <item x="196"/>
        <item x="216"/>
        <item x="111"/>
        <item x="256"/>
        <item x="177"/>
        <item x="23"/>
        <item x="45"/>
        <item x="267"/>
        <item x="82"/>
        <item x="284"/>
        <item x="215"/>
        <item x="127"/>
        <item x="57"/>
        <item x="133"/>
        <item x="217"/>
        <item x="277"/>
        <item x="1"/>
        <item x="272"/>
        <item x="205"/>
        <item x="184"/>
        <item x="14"/>
        <item x="150"/>
        <item x="53"/>
        <item x="69"/>
        <item x="54"/>
        <item x="282"/>
        <item x="39"/>
        <item x="238"/>
        <item x="190"/>
        <item x="49"/>
        <item x="168"/>
        <item x="236"/>
        <item x="121"/>
        <item x="203"/>
        <item x="173"/>
        <item x="43"/>
        <item x="138"/>
        <item x="148"/>
        <item x="219"/>
        <item x="68"/>
        <item x="194"/>
        <item x="96"/>
        <item x="153"/>
        <item x="90"/>
        <item x="160"/>
        <item x="142"/>
        <item x="255"/>
        <item x="151"/>
        <item x="136"/>
        <item x="8"/>
        <item x="19"/>
        <item x="79"/>
        <item x="89"/>
        <item x="176"/>
        <item x="145"/>
        <item x="56"/>
        <item x="71"/>
        <item x="285"/>
        <item x="107"/>
        <item x="93"/>
        <item x="22"/>
        <item x="279"/>
        <item x="131"/>
        <item x="200"/>
        <item x="287"/>
        <item x="175"/>
        <item x="18"/>
        <item x="161"/>
        <item x="169"/>
        <item x="51"/>
        <item x="140"/>
        <item x="227"/>
        <item x="198"/>
        <item x="157"/>
        <item x="232"/>
        <item x="288"/>
        <item x="193"/>
        <item x="234"/>
        <item x="78"/>
        <item x="222"/>
        <item x="265"/>
        <item x="86"/>
        <item x="263"/>
        <item x="149"/>
        <item x="225"/>
        <item x="212"/>
        <item x="166"/>
        <item x="85"/>
        <item x="162"/>
        <item x="3"/>
        <item x="174"/>
        <item x="74"/>
        <item x="38"/>
        <item x="10"/>
        <item x="134"/>
        <item x="47"/>
        <item x="12"/>
        <item x="73"/>
        <item x="220"/>
        <item x="231"/>
        <item t="default"/>
      </items>
    </pivotField>
    <pivotField showAll="0"/>
    <pivotField axis="axisRow" showAll="0">
      <items count="285">
        <item x="163"/>
        <item x="138"/>
        <item x="37"/>
        <item x="55"/>
        <item x="83"/>
        <item x="183"/>
        <item x="32"/>
        <item x="95"/>
        <item x="268"/>
        <item x="232"/>
        <item x="49"/>
        <item x="61"/>
        <item x="70"/>
        <item x="176"/>
        <item x="113"/>
        <item x="35"/>
        <item x="260"/>
        <item x="230"/>
        <item x="235"/>
        <item x="3"/>
        <item x="139"/>
        <item x="198"/>
        <item x="39"/>
        <item x="92"/>
        <item x="63"/>
        <item x="9"/>
        <item x="133"/>
        <item x="103"/>
        <item x="143"/>
        <item x="224"/>
        <item x="219"/>
        <item x="144"/>
        <item x="227"/>
        <item x="233"/>
        <item x="155"/>
        <item x="124"/>
        <item x="137"/>
        <item x="211"/>
        <item x="202"/>
        <item x="214"/>
        <item x="220"/>
        <item x="226"/>
        <item x="181"/>
        <item x="66"/>
        <item x="262"/>
        <item x="273"/>
        <item x="12"/>
        <item x="203"/>
        <item x="223"/>
        <item x="240"/>
        <item x="24"/>
        <item x="148"/>
        <item x="51"/>
        <item x="52"/>
        <item x="41"/>
        <item x="182"/>
        <item x="160"/>
        <item x="23"/>
        <item x="87"/>
        <item x="239"/>
        <item x="231"/>
        <item x="1"/>
        <item x="10"/>
        <item x="140"/>
        <item x="193"/>
        <item x="0"/>
        <item x="20"/>
        <item x="238"/>
        <item x="234"/>
        <item x="272"/>
        <item x="175"/>
        <item x="146"/>
        <item x="112"/>
        <item x="107"/>
        <item x="245"/>
        <item x="174"/>
        <item x="192"/>
        <item x="54"/>
        <item x="255"/>
        <item x="2"/>
        <item x="215"/>
        <item x="186"/>
        <item x="135"/>
        <item x="170"/>
        <item x="184"/>
        <item x="53"/>
        <item x="84"/>
        <item x="29"/>
        <item x="237"/>
        <item x="168"/>
        <item x="130"/>
        <item x="254"/>
        <item x="266"/>
        <item x="185"/>
        <item x="110"/>
        <item x="213"/>
        <item x="71"/>
        <item x="200"/>
        <item x="141"/>
        <item x="96"/>
        <item x="94"/>
        <item x="256"/>
        <item x="114"/>
        <item x="236"/>
        <item x="180"/>
        <item x="100"/>
        <item x="73"/>
        <item x="154"/>
        <item x="278"/>
        <item x="276"/>
        <item x="247"/>
        <item x="212"/>
        <item x="99"/>
        <item x="246"/>
        <item x="274"/>
        <item x="19"/>
        <item x="74"/>
        <item x="250"/>
        <item x="56"/>
        <item x="153"/>
        <item x="34"/>
        <item x="249"/>
        <item x="222"/>
        <item x="279"/>
        <item x="191"/>
        <item x="104"/>
        <item x="162"/>
        <item x="166"/>
        <item x="90"/>
        <item x="119"/>
        <item x="36"/>
        <item x="108"/>
        <item x="26"/>
        <item x="88"/>
        <item x="150"/>
        <item x="21"/>
        <item x="40"/>
        <item x="117"/>
        <item x="62"/>
        <item x="64"/>
        <item x="43"/>
        <item x="151"/>
        <item x="171"/>
        <item x="228"/>
        <item x="244"/>
        <item x="270"/>
        <item x="132"/>
        <item x="283"/>
        <item x="4"/>
        <item x="89"/>
        <item x="201"/>
        <item x="243"/>
        <item x="216"/>
        <item x="277"/>
        <item x="275"/>
        <item x="169"/>
        <item x="50"/>
        <item x="16"/>
        <item x="173"/>
        <item x="38"/>
        <item x="147"/>
        <item x="165"/>
        <item x="281"/>
        <item x="123"/>
        <item x="80"/>
        <item x="263"/>
        <item x="17"/>
        <item x="129"/>
        <item x="126"/>
        <item x="111"/>
        <item x="76"/>
        <item x="116"/>
        <item x="97"/>
        <item x="207"/>
        <item x="13"/>
        <item x="48"/>
        <item x="77"/>
        <item x="59"/>
        <item x="5"/>
        <item x="152"/>
        <item x="258"/>
        <item x="267"/>
        <item x="189"/>
        <item x="115"/>
        <item x="102"/>
        <item x="187"/>
        <item x="190"/>
        <item x="259"/>
        <item x="264"/>
        <item x="208"/>
        <item x="69"/>
        <item x="22"/>
        <item x="196"/>
        <item x="122"/>
        <item x="145"/>
        <item x="252"/>
        <item x="33"/>
        <item x="31"/>
        <item x="7"/>
        <item x="265"/>
        <item x="178"/>
        <item x="188"/>
        <item x="218"/>
        <item x="179"/>
        <item x="161"/>
        <item x="229"/>
        <item x="72"/>
        <item x="18"/>
        <item x="67"/>
        <item x="15"/>
        <item x="128"/>
        <item x="195"/>
        <item x="205"/>
        <item x="177"/>
        <item x="217"/>
        <item x="225"/>
        <item x="149"/>
        <item x="6"/>
        <item x="28"/>
        <item x="157"/>
        <item x="44"/>
        <item x="91"/>
        <item x="105"/>
        <item x="11"/>
        <item x="81"/>
        <item x="197"/>
        <item x="75"/>
        <item x="14"/>
        <item x="269"/>
        <item x="280"/>
        <item x="93"/>
        <item x="131"/>
        <item x="282"/>
        <item x="27"/>
        <item x="241"/>
        <item x="79"/>
        <item x="60"/>
        <item x="164"/>
        <item x="142"/>
        <item x="65"/>
        <item x="58"/>
        <item x="253"/>
        <item x="47"/>
        <item x="68"/>
        <item x="206"/>
        <item x="109"/>
        <item x="251"/>
        <item x="45"/>
        <item x="106"/>
        <item x="134"/>
        <item x="248"/>
        <item x="261"/>
        <item x="125"/>
        <item x="136"/>
        <item x="172"/>
        <item x="242"/>
        <item x="101"/>
        <item x="194"/>
        <item x="46"/>
        <item x="257"/>
        <item x="167"/>
        <item x="25"/>
        <item x="121"/>
        <item x="82"/>
        <item x="78"/>
        <item x="118"/>
        <item x="221"/>
        <item x="98"/>
        <item x="158"/>
        <item x="204"/>
        <item x="209"/>
        <item x="120"/>
        <item x="156"/>
        <item x="127"/>
        <item x="30"/>
        <item x="42"/>
        <item x="159"/>
        <item x="199"/>
        <item x="210"/>
        <item x="8"/>
        <item x="85"/>
        <item x="57"/>
        <item x="271"/>
        <item x="86"/>
        <item t="default"/>
      </items>
    </pivotField>
    <pivotField numFmtId="6" showAll="0"/>
    <pivotField showAll="0"/>
    <pivotField numFmtId="6" showAll="0"/>
    <pivotField showAll="0"/>
    <pivotField numFmtId="14" showAll="0"/>
    <pivotField showAll="0"/>
    <pivotField axis="axisPage" multipleItemSelectionAllowed="1" showAll="0">
      <items count="6">
        <item h="1" x="3"/>
        <item h="1" x="2"/>
        <item h="1" x="0"/>
        <item h="1" x="4"/>
        <item x="1"/>
        <item t="default"/>
      </items>
    </pivotField>
    <pivotField axis="axisPage" multipleItemSelectionAllowed="1" showAll="0">
      <items count="12">
        <item h="1" x="10"/>
        <item h="1" x="5"/>
        <item h="1" x="0"/>
        <item h="1" x="7"/>
        <item h="1" x="3"/>
        <item h="1" x="1"/>
        <item h="1" x="8"/>
        <item h="1" x="2"/>
        <item h="1" x="6"/>
        <item h="1" x="4"/>
        <item x="9"/>
        <item t="default"/>
      </items>
    </pivotField>
    <pivotField showAll="0"/>
    <pivotField showAll="0"/>
    <pivotField showAll="0"/>
  </pivotFields>
  <rowFields count="1">
    <field x="2"/>
  </rowFields>
  <rowItems count="5">
    <i>
      <x v="56"/>
    </i>
    <i>
      <x v="177"/>
    </i>
    <i>
      <x v="241"/>
    </i>
    <i>
      <x v="247"/>
    </i>
    <i t="grand">
      <x/>
    </i>
  </rowItems>
  <colItems count="1">
    <i/>
  </colItems>
  <pageFields count="2">
    <pageField fld="10" hier="-1"/>
    <pageField fld="9" hier="-1"/>
  </pageFields>
  <dataFields count="1">
    <dataField name="Count of ID - Utente" fld="0" subtotal="count" baseField="0" baseItem="0"/>
  </dataFields>
  <formats count="4">
    <format dxfId="13">
      <pivotArea field="0" type="button" dataOnly="0" labelOnly="1" outline="0"/>
    </format>
    <format dxfId="12">
      <pivotArea dataOnly="0" labelOnly="1" outline="0" axis="axisValues" fieldPosition="0"/>
    </format>
    <format dxfId="11">
      <pivotArea field="0" type="button" dataOnly="0" labelOnly="1" outline="0"/>
    </format>
    <format dxfId="1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C47B50B-64F0-D643-A29C-6A5D580C398A}" name="PivotTable8" cacheId="35"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 rowHeaderCaption="Rent Monopattino">
  <location ref="E25:F28" firstHeaderRow="1" firstDataRow="1" firstDataCol="1" rowPageCount="1" colPageCount="1"/>
  <pivotFields count="14">
    <pivotField dataField="1" showAll="0">
      <items count="290">
        <item x="209"/>
        <item x="28"/>
        <item x="242"/>
        <item x="181"/>
        <item x="202"/>
        <item x="70"/>
        <item x="286"/>
        <item x="11"/>
        <item x="252"/>
        <item x="55"/>
        <item x="283"/>
        <item x="6"/>
        <item x="172"/>
        <item x="156"/>
        <item x="65"/>
        <item x="235"/>
        <item x="75"/>
        <item x="276"/>
        <item x="191"/>
        <item x="233"/>
        <item x="60"/>
        <item x="171"/>
        <item x="158"/>
        <item x="154"/>
        <item x="104"/>
        <item x="244"/>
        <item x="270"/>
        <item x="180"/>
        <item x="105"/>
        <item x="254"/>
        <item x="195"/>
        <item x="92"/>
        <item x="31"/>
        <item x="126"/>
        <item x="264"/>
        <item x="248"/>
        <item x="109"/>
        <item x="58"/>
        <item x="237"/>
        <item x="99"/>
        <item x="77"/>
        <item x="59"/>
        <item x="163"/>
        <item x="64"/>
        <item x="44"/>
        <item x="9"/>
        <item x="281"/>
        <item x="41"/>
        <item x="218"/>
        <item x="273"/>
        <item x="20"/>
        <item x="274"/>
        <item x="33"/>
        <item x="103"/>
        <item x="114"/>
        <item x="253"/>
        <item x="261"/>
        <item x="210"/>
        <item x="76"/>
        <item x="97"/>
        <item x="258"/>
        <item x="241"/>
        <item x="72"/>
        <item x="207"/>
        <item x="240"/>
        <item x="189"/>
        <item x="147"/>
        <item x="187"/>
        <item x="7"/>
        <item x="135"/>
        <item x="246"/>
        <item x="26"/>
        <item x="165"/>
        <item x="259"/>
        <item x="102"/>
        <item x="63"/>
        <item x="113"/>
        <item x="221"/>
        <item x="269"/>
        <item x="214"/>
        <item x="129"/>
        <item x="118"/>
        <item x="120"/>
        <item x="91"/>
        <item x="224"/>
        <item x="192"/>
        <item x="94"/>
        <item x="37"/>
        <item x="84"/>
        <item x="95"/>
        <item x="98"/>
        <item x="130"/>
        <item x="124"/>
        <item x="243"/>
        <item x="266"/>
        <item x="141"/>
        <item x="30"/>
        <item x="40"/>
        <item x="42"/>
        <item x="25"/>
        <item x="188"/>
        <item x="35"/>
        <item x="62"/>
        <item x="245"/>
        <item x="213"/>
        <item x="13"/>
        <item x="17"/>
        <item x="27"/>
        <item x="24"/>
        <item x="110"/>
        <item x="201"/>
        <item x="186"/>
        <item x="185"/>
        <item x="32"/>
        <item x="125"/>
        <item x="52"/>
        <item x="239"/>
        <item x="66"/>
        <item x="208"/>
        <item x="122"/>
        <item x="250"/>
        <item x="223"/>
        <item x="260"/>
        <item x="116"/>
        <item x="46"/>
        <item x="280"/>
        <item x="101"/>
        <item x="21"/>
        <item x="155"/>
        <item x="16"/>
        <item x="2"/>
        <item x="249"/>
        <item x="132"/>
        <item x="106"/>
        <item x="197"/>
        <item x="67"/>
        <item x="275"/>
        <item x="48"/>
        <item x="182"/>
        <item x="268"/>
        <item x="229"/>
        <item x="0"/>
        <item x="230"/>
        <item x="123"/>
        <item x="112"/>
        <item x="164"/>
        <item x="36"/>
        <item x="199"/>
        <item x="143"/>
        <item x="83"/>
        <item x="144"/>
        <item x="4"/>
        <item x="226"/>
        <item x="128"/>
        <item x="247"/>
        <item x="87"/>
        <item x="88"/>
        <item x="80"/>
        <item x="211"/>
        <item x="5"/>
        <item x="108"/>
        <item x="117"/>
        <item x="61"/>
        <item x="178"/>
        <item x="183"/>
        <item x="204"/>
        <item x="262"/>
        <item x="100"/>
        <item x="179"/>
        <item x="206"/>
        <item x="251"/>
        <item x="170"/>
        <item x="115"/>
        <item x="50"/>
        <item x="152"/>
        <item x="119"/>
        <item x="34"/>
        <item x="159"/>
        <item x="29"/>
        <item x="139"/>
        <item x="146"/>
        <item x="167"/>
        <item x="228"/>
        <item x="271"/>
        <item x="81"/>
        <item x="15"/>
        <item x="257"/>
        <item x="137"/>
        <item x="278"/>
        <item x="196"/>
        <item x="216"/>
        <item x="111"/>
        <item x="256"/>
        <item x="177"/>
        <item x="23"/>
        <item x="45"/>
        <item x="267"/>
        <item x="82"/>
        <item x="284"/>
        <item x="215"/>
        <item x="127"/>
        <item x="57"/>
        <item x="133"/>
        <item x="217"/>
        <item x="277"/>
        <item x="1"/>
        <item x="272"/>
        <item x="205"/>
        <item x="184"/>
        <item x="14"/>
        <item x="150"/>
        <item x="53"/>
        <item x="69"/>
        <item x="54"/>
        <item x="282"/>
        <item x="39"/>
        <item x="238"/>
        <item x="190"/>
        <item x="49"/>
        <item x="168"/>
        <item x="236"/>
        <item x="121"/>
        <item x="203"/>
        <item x="173"/>
        <item x="43"/>
        <item x="138"/>
        <item x="148"/>
        <item x="219"/>
        <item x="68"/>
        <item x="194"/>
        <item x="96"/>
        <item x="153"/>
        <item x="90"/>
        <item x="160"/>
        <item x="142"/>
        <item x="255"/>
        <item x="151"/>
        <item x="136"/>
        <item x="8"/>
        <item x="19"/>
        <item x="79"/>
        <item x="89"/>
        <item x="176"/>
        <item x="145"/>
        <item x="56"/>
        <item x="71"/>
        <item x="285"/>
        <item x="107"/>
        <item x="93"/>
        <item x="22"/>
        <item x="279"/>
        <item x="131"/>
        <item x="200"/>
        <item x="287"/>
        <item x="175"/>
        <item x="18"/>
        <item x="161"/>
        <item x="169"/>
        <item x="51"/>
        <item x="140"/>
        <item x="227"/>
        <item x="198"/>
        <item x="157"/>
        <item x="232"/>
        <item x="288"/>
        <item x="193"/>
        <item x="234"/>
        <item x="78"/>
        <item x="222"/>
        <item x="265"/>
        <item x="86"/>
        <item x="263"/>
        <item x="149"/>
        <item x="225"/>
        <item x="212"/>
        <item x="166"/>
        <item x="85"/>
        <item x="162"/>
        <item x="3"/>
        <item x="174"/>
        <item x="74"/>
        <item x="38"/>
        <item x="10"/>
        <item x="134"/>
        <item x="47"/>
        <item x="12"/>
        <item x="73"/>
        <item x="220"/>
        <item x="231"/>
        <item t="default"/>
      </items>
    </pivotField>
    <pivotField showAll="0"/>
    <pivotField showAll="0"/>
    <pivotField numFmtId="6" showAll="0"/>
    <pivotField showAll="0"/>
    <pivotField numFmtId="6" showAll="0"/>
    <pivotField showAll="0"/>
    <pivotField numFmtId="14" showAll="0"/>
    <pivotField showAll="0"/>
    <pivotField showAll="0"/>
    <pivotField axis="axisPage" multipleItemSelectionAllowed="1" showAll="0">
      <items count="12">
        <item h="1" x="10"/>
        <item h="1" x="5"/>
        <item h="1" x="0"/>
        <item h="1" x="7"/>
        <item h="1" x="3"/>
        <item h="1" x="1"/>
        <item x="8"/>
        <item x="2"/>
        <item x="6"/>
        <item x="4"/>
        <item x="9"/>
        <item t="default"/>
      </items>
    </pivotField>
    <pivotField showAll="0">
      <items count="3">
        <item x="0"/>
        <item x="1"/>
        <item t="default"/>
      </items>
    </pivotField>
    <pivotField showAll="0"/>
    <pivotField axis="axisRow" showAll="0">
      <items count="3">
        <item x="1"/>
        <item x="0"/>
        <item t="default"/>
      </items>
    </pivotField>
  </pivotFields>
  <rowFields count="1">
    <field x="13"/>
  </rowFields>
  <rowItems count="3">
    <i>
      <x/>
    </i>
    <i>
      <x v="1"/>
    </i>
    <i t="grand">
      <x/>
    </i>
  </rowItems>
  <colItems count="1">
    <i/>
  </colItems>
  <pageFields count="1">
    <pageField fld="10" hier="-1"/>
  </pageFields>
  <dataFields count="1">
    <dataField name="Count of ID - Utente" fld="0" subtotal="count" baseField="0" baseItem="0"/>
  </dataFields>
  <formats count="4">
    <format dxfId="17">
      <pivotArea field="0" type="button" dataOnly="0" labelOnly="1" outline="0"/>
    </format>
    <format dxfId="16">
      <pivotArea dataOnly="0" labelOnly="1" outline="0" axis="axisValues" fieldPosition="0"/>
    </format>
    <format dxfId="15">
      <pivotArea field="0" type="button" dataOnly="0" labelOnly="1" outline="0"/>
    </format>
    <format dxfId="1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0CE0439-C201-2B47-81E0-2D6D28EB9DDF}" name="Tab_valori" displayName="Tab_valori" ref="A1:O302" totalsRowCount="1" headerRowDxfId="35" dataDxfId="33" headerRowBorderDxfId="34">
  <tableColumns count="15">
    <tableColumn id="1" xr3:uid="{F99F411E-07E3-BE4D-A7BD-10F54AFC7C8C}" name="ID - Utente" dataDxfId="32"/>
    <tableColumn id="2" xr3:uid="{B77A89C8-8442-ED45-8713-8488D9C229B1}" name="Indirizzo Airbnb" dataDxfId="31"/>
    <tableColumn id="3" xr3:uid="{8ECCF6CA-3E0F-C04B-8E74-B3AC653AE8E7}" name="Città Airbnb" dataDxfId="30"/>
    <tableColumn id="4" xr3:uid="{7DE15BA1-CBBD-4940-9AEE-4BC65BB959B3}" name="Costo a Notte (€)" dataDxfId="29"/>
    <tableColumn id="5" xr3:uid="{8DBA037A-FC19-4544-BD35-83A65B2236F6}" name="Numero Notti" dataDxfId="28"/>
    <tableColumn id="15" xr3:uid="{BE4C100D-931A-0F4F-99DF-B9BFCAB9DA5D}" name="Spesa totale per ogni utente " dataDxfId="27">
      <calculatedColumnFormula>Tab_valori[[#This Row],[Costo a Notte (€)]]*Tab_valori[[#This Row],[Numero Notti]]</calculatedColumnFormula>
    </tableColumn>
    <tableColumn id="14" xr3:uid="{B50F48E7-B16D-8140-8EDE-4624119E3E24}" name="spesa media per singolo membro " dataDxfId="26">
      <calculatedColumnFormula>Tab_valori[[#This Row],[Spesa totale per ogni utente ]]/Tab_valori[[#This Row],[Membri della Famiglia]]</calculatedColumnFormula>
    </tableColumn>
    <tableColumn id="6" xr3:uid="{C1DAB4D8-E374-FB4B-B5D5-3FAAD2A4EFA3}" name="Paese di provenienza" dataDxfId="25"/>
    <tableColumn id="7" xr3:uid="{172193E8-E5BD-0A48-8C06-285E9468CF80}" name="Data di Nascita" dataDxfId="24"/>
    <tableColumn id="8" xr3:uid="{77F82AEA-BFCD-8745-BC41-5F542E836860}" name="Membri della Famiglia" dataDxfId="23"/>
    <tableColumn id="9" xr3:uid="{D6028DC2-B081-7242-9735-2EC1188A6027}" name="Valutazione" dataDxfId="22"/>
    <tableColumn id="10" xr3:uid="{F301A46C-CC92-1E42-AA5C-11A0262775B8}" name="Valutazione sull'attenzione all'ambiente della città" dataDxfId="21"/>
    <tableColumn id="11" xr3:uid="{ADE1AB2A-99AE-394D-BF61-ED573E38980A}" name="Rent Mezzo - Auto" dataDxfId="20"/>
    <tableColumn id="12" xr3:uid="{CBA75267-997C-0046-9278-51CEDE35328F}" name="Rent Mezzo - Biciletta" dataDxfId="19"/>
    <tableColumn id="13" xr3:uid="{336B0A4C-1396-D842-9D1C-CB6E79254A33}" name="Rent Mezzo - Monopattino" dataDxfId="1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4AC94-2D4A-B241-B9C9-6325E9F98CFD}">
  <sheetPr>
    <tabColor theme="3" tint="0.499984740745262"/>
  </sheetPr>
  <dimension ref="A1:M301"/>
  <sheetViews>
    <sheetView workbookViewId="0">
      <selection activeCell="B10" sqref="B10"/>
    </sheetView>
  </sheetViews>
  <sheetFormatPr baseColWidth="10" defaultRowHeight="16" x14ac:dyDescent="0.2"/>
  <cols>
    <col min="1" max="1" width="14" customWidth="1"/>
    <col min="2" max="2" width="32.33203125" customWidth="1"/>
    <col min="3" max="3" width="21.1640625" customWidth="1"/>
    <col min="4" max="4" width="19.83203125" customWidth="1"/>
    <col min="5" max="5" width="19.33203125" customWidth="1"/>
    <col min="6" max="6" width="28.1640625" customWidth="1"/>
    <col min="7" max="7" width="21.33203125" customWidth="1"/>
    <col min="8" max="8" width="25.5" customWidth="1"/>
    <col min="9" max="9" width="17.6640625" customWidth="1"/>
    <col min="10" max="10" width="48.1640625" customWidth="1"/>
    <col min="11" max="11" width="22.6640625" customWidth="1"/>
    <col min="12" max="12" width="26.1640625" customWidth="1"/>
    <col min="13" max="13" width="28" customWidth="1"/>
  </cols>
  <sheetData>
    <row r="1" spans="1:13" x14ac:dyDescent="0.2">
      <c r="A1" s="8" t="s">
        <v>0</v>
      </c>
      <c r="B1" s="8" t="s">
        <v>1</v>
      </c>
      <c r="C1" s="8" t="s">
        <v>2</v>
      </c>
      <c r="D1" s="8" t="s">
        <v>3</v>
      </c>
      <c r="E1" s="8" t="s">
        <v>4</v>
      </c>
      <c r="F1" s="8" t="s">
        <v>5</v>
      </c>
      <c r="G1" s="8" t="s">
        <v>6</v>
      </c>
      <c r="H1" s="8" t="s">
        <v>7</v>
      </c>
      <c r="I1" s="8" t="s">
        <v>8</v>
      </c>
      <c r="J1" s="8" t="s">
        <v>9</v>
      </c>
      <c r="K1" s="8" t="s">
        <v>10</v>
      </c>
      <c r="L1" s="8" t="s">
        <v>11</v>
      </c>
      <c r="M1" s="8" t="s">
        <v>12</v>
      </c>
    </row>
    <row r="2" spans="1:13" x14ac:dyDescent="0.2">
      <c r="A2">
        <v>3921</v>
      </c>
      <c r="B2" t="s">
        <v>13</v>
      </c>
      <c r="C2" t="s">
        <v>14</v>
      </c>
      <c r="D2">
        <v>241</v>
      </c>
      <c r="E2">
        <v>6</v>
      </c>
      <c r="F2" t="s">
        <v>15</v>
      </c>
      <c r="G2">
        <v>22350</v>
      </c>
      <c r="H2">
        <v>4</v>
      </c>
      <c r="I2">
        <v>3</v>
      </c>
      <c r="J2">
        <v>2</v>
      </c>
      <c r="K2" t="s">
        <v>16</v>
      </c>
      <c r="L2" t="s">
        <v>16</v>
      </c>
      <c r="M2" t="s">
        <v>17</v>
      </c>
    </row>
    <row r="3" spans="1:13" x14ac:dyDescent="0.2">
      <c r="A3">
        <v>4606</v>
      </c>
      <c r="B3" t="s">
        <v>18</v>
      </c>
      <c r="C3" t="s">
        <v>19</v>
      </c>
      <c r="D3">
        <v>89</v>
      </c>
      <c r="E3">
        <v>6</v>
      </c>
      <c r="F3" t="s">
        <v>20</v>
      </c>
      <c r="G3">
        <v>33063</v>
      </c>
      <c r="H3">
        <v>3</v>
      </c>
      <c r="I3">
        <v>5</v>
      </c>
      <c r="J3">
        <v>5</v>
      </c>
      <c r="K3" t="s">
        <v>17</v>
      </c>
      <c r="L3" t="s">
        <v>16</v>
      </c>
      <c r="M3" t="s">
        <v>17</v>
      </c>
    </row>
    <row r="4" spans="1:13" x14ac:dyDescent="0.2">
      <c r="A4">
        <v>3813</v>
      </c>
      <c r="B4" t="s">
        <v>21</v>
      </c>
      <c r="C4" t="s">
        <v>22</v>
      </c>
      <c r="D4">
        <v>165</v>
      </c>
      <c r="E4">
        <v>4</v>
      </c>
      <c r="F4" t="s">
        <v>23</v>
      </c>
      <c r="G4">
        <v>31177</v>
      </c>
      <c r="H4">
        <v>1</v>
      </c>
      <c r="I4">
        <v>2</v>
      </c>
      <c r="J4">
        <v>7</v>
      </c>
      <c r="K4" t="s">
        <v>16</v>
      </c>
      <c r="L4" t="s">
        <v>17</v>
      </c>
      <c r="M4" t="s">
        <v>17</v>
      </c>
    </row>
    <row r="5" spans="1:13" x14ac:dyDescent="0.2">
      <c r="A5">
        <v>5482</v>
      </c>
      <c r="B5" t="s">
        <v>24</v>
      </c>
      <c r="C5" t="s">
        <v>25</v>
      </c>
      <c r="D5">
        <v>202</v>
      </c>
      <c r="E5">
        <v>3</v>
      </c>
      <c r="F5" t="s">
        <v>26</v>
      </c>
      <c r="G5">
        <v>31895</v>
      </c>
      <c r="H5">
        <v>5</v>
      </c>
      <c r="I5">
        <v>5</v>
      </c>
      <c r="J5">
        <v>4</v>
      </c>
      <c r="K5" t="s">
        <v>17</v>
      </c>
      <c r="L5" t="s">
        <v>16</v>
      </c>
      <c r="M5" t="s">
        <v>16</v>
      </c>
    </row>
    <row r="6" spans="1:13" x14ac:dyDescent="0.2">
      <c r="A6">
        <v>4058</v>
      </c>
      <c r="B6" t="s">
        <v>27</v>
      </c>
      <c r="C6" t="s">
        <v>28</v>
      </c>
      <c r="D6">
        <v>99</v>
      </c>
      <c r="E6">
        <v>5</v>
      </c>
      <c r="F6" t="s">
        <v>29</v>
      </c>
      <c r="G6">
        <v>23696</v>
      </c>
      <c r="H6">
        <v>4</v>
      </c>
      <c r="I6">
        <v>2</v>
      </c>
      <c r="J6">
        <v>9</v>
      </c>
      <c r="K6" t="s">
        <v>16</v>
      </c>
      <c r="L6" t="s">
        <v>16</v>
      </c>
      <c r="M6" t="s">
        <v>16</v>
      </c>
    </row>
    <row r="7" spans="1:13" x14ac:dyDescent="0.2">
      <c r="A7">
        <v>4115</v>
      </c>
      <c r="B7" t="s">
        <v>30</v>
      </c>
      <c r="C7" t="s">
        <v>31</v>
      </c>
      <c r="D7">
        <v>135</v>
      </c>
      <c r="E7">
        <v>1</v>
      </c>
      <c r="F7" t="s">
        <v>26</v>
      </c>
      <c r="G7">
        <v>23983</v>
      </c>
      <c r="H7">
        <v>4</v>
      </c>
      <c r="I7">
        <v>2</v>
      </c>
      <c r="J7">
        <v>1</v>
      </c>
      <c r="K7" t="s">
        <v>16</v>
      </c>
      <c r="L7" t="s">
        <v>16</v>
      </c>
      <c r="M7" t="s">
        <v>17</v>
      </c>
    </row>
    <row r="8" spans="1:13" x14ac:dyDescent="0.2">
      <c r="A8">
        <v>2426</v>
      </c>
      <c r="B8" t="s">
        <v>32</v>
      </c>
      <c r="C8" t="s">
        <v>33</v>
      </c>
      <c r="D8">
        <v>263</v>
      </c>
      <c r="E8">
        <v>3</v>
      </c>
      <c r="F8" t="s">
        <v>34</v>
      </c>
      <c r="G8">
        <v>23994</v>
      </c>
      <c r="H8">
        <v>6</v>
      </c>
      <c r="I8">
        <v>5</v>
      </c>
      <c r="J8">
        <v>9</v>
      </c>
      <c r="K8" t="s">
        <v>17</v>
      </c>
      <c r="L8" t="s">
        <v>16</v>
      </c>
      <c r="M8" t="s">
        <v>17</v>
      </c>
    </row>
    <row r="9" spans="1:13" x14ac:dyDescent="0.2">
      <c r="A9">
        <v>3123</v>
      </c>
      <c r="B9" t="s">
        <v>35</v>
      </c>
      <c r="C9" t="s">
        <v>36</v>
      </c>
      <c r="D9">
        <v>264</v>
      </c>
      <c r="E9">
        <v>10</v>
      </c>
      <c r="F9" t="s">
        <v>37</v>
      </c>
      <c r="G9">
        <v>30938</v>
      </c>
      <c r="H9">
        <v>3</v>
      </c>
      <c r="I9">
        <v>1</v>
      </c>
      <c r="J9">
        <v>1</v>
      </c>
      <c r="K9" t="s">
        <v>16</v>
      </c>
      <c r="L9" t="s">
        <v>16</v>
      </c>
      <c r="M9" t="s">
        <v>17</v>
      </c>
    </row>
    <row r="10" spans="1:13" x14ac:dyDescent="0.2">
      <c r="A10">
        <v>4926</v>
      </c>
      <c r="B10" t="s">
        <v>38</v>
      </c>
      <c r="C10" t="s">
        <v>39</v>
      </c>
      <c r="D10">
        <v>67</v>
      </c>
      <c r="E10">
        <v>5</v>
      </c>
      <c r="F10" t="s">
        <v>40</v>
      </c>
      <c r="G10">
        <v>30079</v>
      </c>
      <c r="H10">
        <v>7</v>
      </c>
      <c r="I10">
        <v>5</v>
      </c>
      <c r="J10">
        <v>8</v>
      </c>
      <c r="K10" t="s">
        <v>17</v>
      </c>
      <c r="L10" t="s">
        <v>16</v>
      </c>
      <c r="M10" t="s">
        <v>16</v>
      </c>
    </row>
    <row r="11" spans="1:13" x14ac:dyDescent="0.2">
      <c r="A11">
        <v>2797</v>
      </c>
      <c r="B11" t="s">
        <v>41</v>
      </c>
      <c r="C11" t="s">
        <v>42</v>
      </c>
      <c r="D11">
        <v>300</v>
      </c>
      <c r="E11">
        <v>1</v>
      </c>
      <c r="F11" t="s">
        <v>37</v>
      </c>
      <c r="G11">
        <v>24873</v>
      </c>
      <c r="H11">
        <v>4</v>
      </c>
      <c r="I11">
        <v>3</v>
      </c>
      <c r="J11">
        <v>1</v>
      </c>
      <c r="K11" t="s">
        <v>17</v>
      </c>
      <c r="L11" t="s">
        <v>17</v>
      </c>
      <c r="M11" t="s">
        <v>16</v>
      </c>
    </row>
    <row r="12" spans="1:13" x14ac:dyDescent="0.2">
      <c r="A12">
        <v>5533</v>
      </c>
      <c r="B12" t="s">
        <v>43</v>
      </c>
      <c r="C12" t="s">
        <v>44</v>
      </c>
      <c r="D12">
        <v>300</v>
      </c>
      <c r="E12">
        <v>4</v>
      </c>
      <c r="F12" t="s">
        <v>45</v>
      </c>
      <c r="G12">
        <v>21411</v>
      </c>
      <c r="H12">
        <v>2</v>
      </c>
      <c r="I12">
        <v>1</v>
      </c>
      <c r="J12">
        <v>5</v>
      </c>
      <c r="K12" t="s">
        <v>17</v>
      </c>
      <c r="L12" t="s">
        <v>16</v>
      </c>
      <c r="M12" t="s">
        <v>16</v>
      </c>
    </row>
    <row r="13" spans="1:13" x14ac:dyDescent="0.2">
      <c r="A13">
        <v>2383</v>
      </c>
      <c r="B13" t="s">
        <v>46</v>
      </c>
      <c r="C13" t="s">
        <v>47</v>
      </c>
      <c r="D13">
        <v>277</v>
      </c>
      <c r="E13">
        <v>4</v>
      </c>
      <c r="F13" t="s">
        <v>48</v>
      </c>
      <c r="G13">
        <v>23015</v>
      </c>
      <c r="H13">
        <v>4</v>
      </c>
      <c r="I13">
        <v>3</v>
      </c>
      <c r="J13">
        <v>3</v>
      </c>
      <c r="K13" t="s">
        <v>16</v>
      </c>
      <c r="L13" t="s">
        <v>17</v>
      </c>
      <c r="M13" t="s">
        <v>17</v>
      </c>
    </row>
    <row r="14" spans="1:13" x14ac:dyDescent="0.2">
      <c r="A14">
        <v>5561</v>
      </c>
      <c r="B14" t="s">
        <v>49</v>
      </c>
      <c r="C14" t="s">
        <v>50</v>
      </c>
      <c r="D14">
        <v>225</v>
      </c>
      <c r="E14">
        <v>10</v>
      </c>
      <c r="F14" t="s">
        <v>29</v>
      </c>
      <c r="G14">
        <v>23826</v>
      </c>
      <c r="H14">
        <v>2</v>
      </c>
      <c r="I14">
        <v>5</v>
      </c>
      <c r="J14">
        <v>8</v>
      </c>
      <c r="K14" t="s">
        <v>16</v>
      </c>
      <c r="L14" t="s">
        <v>16</v>
      </c>
      <c r="M14" t="s">
        <v>16</v>
      </c>
    </row>
    <row r="15" spans="1:13" x14ac:dyDescent="0.2">
      <c r="A15">
        <v>3570</v>
      </c>
      <c r="B15" t="s">
        <v>51</v>
      </c>
      <c r="C15" t="s">
        <v>52</v>
      </c>
      <c r="D15">
        <v>157</v>
      </c>
      <c r="E15">
        <v>6</v>
      </c>
      <c r="F15" t="s">
        <v>53</v>
      </c>
      <c r="G15">
        <v>21129</v>
      </c>
      <c r="H15">
        <v>3</v>
      </c>
      <c r="I15">
        <v>4</v>
      </c>
      <c r="J15">
        <v>3</v>
      </c>
      <c r="K15" t="s">
        <v>17</v>
      </c>
      <c r="L15" t="s">
        <v>16</v>
      </c>
      <c r="M15" t="s">
        <v>17</v>
      </c>
    </row>
    <row r="16" spans="1:13" x14ac:dyDescent="0.2">
      <c r="A16">
        <v>4637</v>
      </c>
      <c r="B16" t="s">
        <v>54</v>
      </c>
      <c r="C16" t="s">
        <v>55</v>
      </c>
      <c r="D16">
        <v>97</v>
      </c>
      <c r="E16">
        <v>9</v>
      </c>
      <c r="F16" t="s">
        <v>26</v>
      </c>
      <c r="G16">
        <v>24418</v>
      </c>
      <c r="H16">
        <v>3</v>
      </c>
      <c r="I16">
        <v>2</v>
      </c>
      <c r="J16">
        <v>8</v>
      </c>
      <c r="K16" t="s">
        <v>17</v>
      </c>
      <c r="L16" t="s">
        <v>17</v>
      </c>
      <c r="M16" t="s">
        <v>17</v>
      </c>
    </row>
    <row r="17" spans="1:13" x14ac:dyDescent="0.2">
      <c r="A17">
        <v>4435</v>
      </c>
      <c r="B17" t="s">
        <v>56</v>
      </c>
      <c r="C17" t="s">
        <v>57</v>
      </c>
      <c r="D17">
        <v>249</v>
      </c>
      <c r="E17">
        <v>3</v>
      </c>
      <c r="F17" t="s">
        <v>58</v>
      </c>
      <c r="G17">
        <v>27225</v>
      </c>
      <c r="H17">
        <v>6</v>
      </c>
      <c r="I17">
        <v>4</v>
      </c>
      <c r="J17">
        <v>7</v>
      </c>
      <c r="K17" t="s">
        <v>16</v>
      </c>
      <c r="L17" t="s">
        <v>16</v>
      </c>
      <c r="M17" t="s">
        <v>16</v>
      </c>
    </row>
    <row r="18" spans="1:13" x14ac:dyDescent="0.2">
      <c r="A18">
        <v>3804</v>
      </c>
      <c r="B18" t="s">
        <v>59</v>
      </c>
      <c r="C18" t="s">
        <v>60</v>
      </c>
      <c r="D18">
        <v>216</v>
      </c>
      <c r="E18">
        <v>2</v>
      </c>
      <c r="F18" t="s">
        <v>48</v>
      </c>
      <c r="G18">
        <v>34642</v>
      </c>
      <c r="H18">
        <v>7</v>
      </c>
      <c r="I18">
        <v>4</v>
      </c>
      <c r="J18">
        <v>2</v>
      </c>
      <c r="K18" t="s">
        <v>16</v>
      </c>
      <c r="L18" t="s">
        <v>17</v>
      </c>
      <c r="M18" t="s">
        <v>17</v>
      </c>
    </row>
    <row r="19" spans="1:13" x14ac:dyDescent="0.2">
      <c r="A19">
        <v>3576</v>
      </c>
      <c r="B19" t="s">
        <v>61</v>
      </c>
      <c r="C19" t="s">
        <v>62</v>
      </c>
      <c r="D19">
        <v>117</v>
      </c>
      <c r="E19">
        <v>5</v>
      </c>
      <c r="F19" t="s">
        <v>63</v>
      </c>
      <c r="G19">
        <v>29872</v>
      </c>
      <c r="H19">
        <v>3</v>
      </c>
      <c r="I19">
        <v>1</v>
      </c>
      <c r="J19">
        <v>6</v>
      </c>
      <c r="K19" t="s">
        <v>17</v>
      </c>
      <c r="L19" t="s">
        <v>17</v>
      </c>
      <c r="M19" t="s">
        <v>17</v>
      </c>
    </row>
    <row r="20" spans="1:13" x14ac:dyDescent="0.2">
      <c r="A20">
        <v>5173</v>
      </c>
      <c r="B20" t="s">
        <v>64</v>
      </c>
      <c r="C20" t="s">
        <v>31</v>
      </c>
      <c r="D20">
        <v>204</v>
      </c>
      <c r="E20">
        <v>3</v>
      </c>
      <c r="F20" t="s">
        <v>65</v>
      </c>
      <c r="G20">
        <v>25705</v>
      </c>
      <c r="H20">
        <v>6</v>
      </c>
      <c r="I20">
        <v>3</v>
      </c>
      <c r="J20">
        <v>2</v>
      </c>
      <c r="K20" t="s">
        <v>16</v>
      </c>
      <c r="L20" t="s">
        <v>17</v>
      </c>
      <c r="M20" t="s">
        <v>17</v>
      </c>
    </row>
    <row r="21" spans="1:13" x14ac:dyDescent="0.2">
      <c r="A21">
        <v>4929</v>
      </c>
      <c r="B21" t="s">
        <v>66</v>
      </c>
      <c r="C21" t="s">
        <v>44</v>
      </c>
      <c r="D21">
        <v>69</v>
      </c>
      <c r="E21">
        <v>3</v>
      </c>
      <c r="F21" t="s">
        <v>67</v>
      </c>
      <c r="G21">
        <v>21816</v>
      </c>
      <c r="H21">
        <v>1</v>
      </c>
      <c r="I21">
        <v>2</v>
      </c>
      <c r="J21">
        <v>10</v>
      </c>
      <c r="K21" t="s">
        <v>17</v>
      </c>
      <c r="L21" t="s">
        <v>16</v>
      </c>
      <c r="M21" t="s">
        <v>17</v>
      </c>
    </row>
    <row r="22" spans="1:13" x14ac:dyDescent="0.2">
      <c r="A22">
        <v>2844</v>
      </c>
      <c r="B22" t="s">
        <v>68</v>
      </c>
      <c r="C22" t="s">
        <v>69</v>
      </c>
      <c r="D22">
        <v>53</v>
      </c>
      <c r="E22">
        <v>8</v>
      </c>
      <c r="F22" t="s">
        <v>70</v>
      </c>
      <c r="G22">
        <v>29697</v>
      </c>
      <c r="H22">
        <v>3</v>
      </c>
      <c r="I22">
        <v>4</v>
      </c>
      <c r="J22">
        <v>5</v>
      </c>
      <c r="K22" t="s">
        <v>16</v>
      </c>
      <c r="L22" t="s">
        <v>16</v>
      </c>
      <c r="M22" t="s">
        <v>16</v>
      </c>
    </row>
    <row r="23" spans="1:13" x14ac:dyDescent="0.2">
      <c r="A23">
        <v>3783</v>
      </c>
      <c r="B23" t="s">
        <v>71</v>
      </c>
      <c r="C23" t="s">
        <v>72</v>
      </c>
      <c r="D23">
        <v>176</v>
      </c>
      <c r="E23">
        <v>5</v>
      </c>
      <c r="F23" t="s">
        <v>73</v>
      </c>
      <c r="G23">
        <v>25693</v>
      </c>
      <c r="H23">
        <v>7</v>
      </c>
      <c r="I23">
        <v>2</v>
      </c>
      <c r="J23">
        <v>4</v>
      </c>
      <c r="K23" t="s">
        <v>17</v>
      </c>
      <c r="L23" t="s">
        <v>17</v>
      </c>
      <c r="M23" t="s">
        <v>17</v>
      </c>
    </row>
    <row r="24" spans="1:13" x14ac:dyDescent="0.2">
      <c r="A24">
        <v>5096</v>
      </c>
      <c r="B24" t="s">
        <v>74</v>
      </c>
      <c r="C24" t="s">
        <v>75</v>
      </c>
      <c r="D24">
        <v>74</v>
      </c>
      <c r="E24">
        <v>1</v>
      </c>
      <c r="F24" t="s">
        <v>76</v>
      </c>
      <c r="G24">
        <v>34185</v>
      </c>
      <c r="H24">
        <v>7</v>
      </c>
      <c r="I24">
        <v>3</v>
      </c>
      <c r="J24">
        <v>2</v>
      </c>
      <c r="K24" t="s">
        <v>17</v>
      </c>
      <c r="L24" t="s">
        <v>17</v>
      </c>
      <c r="M24" t="s">
        <v>17</v>
      </c>
    </row>
    <row r="25" spans="1:13" x14ac:dyDescent="0.2">
      <c r="A25">
        <v>4502</v>
      </c>
      <c r="B25" t="s">
        <v>77</v>
      </c>
      <c r="C25" t="s">
        <v>78</v>
      </c>
      <c r="D25">
        <v>194</v>
      </c>
      <c r="E25">
        <v>4</v>
      </c>
      <c r="F25" t="s">
        <v>40</v>
      </c>
      <c r="G25">
        <v>34141</v>
      </c>
      <c r="H25">
        <v>2</v>
      </c>
      <c r="I25">
        <v>3</v>
      </c>
      <c r="J25">
        <v>3</v>
      </c>
      <c r="K25" t="s">
        <v>17</v>
      </c>
      <c r="L25" t="s">
        <v>16</v>
      </c>
      <c r="M25" t="s">
        <v>16</v>
      </c>
    </row>
    <row r="26" spans="1:13" x14ac:dyDescent="0.2">
      <c r="A26">
        <v>3585</v>
      </c>
      <c r="B26" t="s">
        <v>79</v>
      </c>
      <c r="C26" t="s">
        <v>80</v>
      </c>
      <c r="D26">
        <v>233</v>
      </c>
      <c r="E26">
        <v>9</v>
      </c>
      <c r="F26" t="s">
        <v>48</v>
      </c>
      <c r="G26">
        <v>33913</v>
      </c>
      <c r="H26">
        <v>1</v>
      </c>
      <c r="I26">
        <v>3</v>
      </c>
      <c r="J26">
        <v>4</v>
      </c>
      <c r="K26" t="s">
        <v>17</v>
      </c>
      <c r="L26" t="s">
        <v>16</v>
      </c>
      <c r="M26" t="s">
        <v>17</v>
      </c>
    </row>
    <row r="27" spans="1:13" x14ac:dyDescent="0.2">
      <c r="A27">
        <v>3532</v>
      </c>
      <c r="B27" t="s">
        <v>81</v>
      </c>
      <c r="C27" t="s">
        <v>44</v>
      </c>
      <c r="D27">
        <v>179</v>
      </c>
      <c r="E27">
        <v>7</v>
      </c>
      <c r="F27" t="s">
        <v>82</v>
      </c>
      <c r="G27">
        <v>23027</v>
      </c>
      <c r="H27">
        <v>7</v>
      </c>
      <c r="I27">
        <v>2</v>
      </c>
      <c r="J27">
        <v>10</v>
      </c>
      <c r="K27" t="s">
        <v>16</v>
      </c>
      <c r="L27" t="s">
        <v>17</v>
      </c>
      <c r="M27" t="s">
        <v>17</v>
      </c>
    </row>
    <row r="28" spans="1:13" x14ac:dyDescent="0.2">
      <c r="A28">
        <v>3144</v>
      </c>
      <c r="B28" t="s">
        <v>83</v>
      </c>
      <c r="C28" t="s">
        <v>84</v>
      </c>
      <c r="D28">
        <v>286</v>
      </c>
      <c r="E28">
        <v>10</v>
      </c>
      <c r="F28" t="s">
        <v>20</v>
      </c>
      <c r="G28">
        <v>23574</v>
      </c>
      <c r="H28">
        <v>1</v>
      </c>
      <c r="I28">
        <v>1</v>
      </c>
      <c r="J28">
        <v>3</v>
      </c>
      <c r="K28" t="s">
        <v>16</v>
      </c>
      <c r="L28" t="s">
        <v>16</v>
      </c>
      <c r="M28" t="s">
        <v>17</v>
      </c>
    </row>
    <row r="29" spans="1:13" x14ac:dyDescent="0.2">
      <c r="A29">
        <v>3580</v>
      </c>
      <c r="B29" t="s">
        <v>85</v>
      </c>
      <c r="C29" t="s">
        <v>86</v>
      </c>
      <c r="D29">
        <v>156</v>
      </c>
      <c r="E29">
        <v>10</v>
      </c>
      <c r="F29" t="s">
        <v>37</v>
      </c>
      <c r="G29">
        <v>28040</v>
      </c>
      <c r="H29">
        <v>5</v>
      </c>
      <c r="I29">
        <v>2</v>
      </c>
      <c r="J29">
        <v>4</v>
      </c>
      <c r="K29" t="s">
        <v>17</v>
      </c>
      <c r="L29" t="s">
        <v>17</v>
      </c>
      <c r="M29" t="s">
        <v>17</v>
      </c>
    </row>
    <row r="30" spans="1:13" x14ac:dyDescent="0.2">
      <c r="A30">
        <v>2309</v>
      </c>
      <c r="B30" t="s">
        <v>87</v>
      </c>
      <c r="C30" t="s">
        <v>88</v>
      </c>
      <c r="D30">
        <v>259</v>
      </c>
      <c r="E30">
        <v>9</v>
      </c>
      <c r="F30" t="s">
        <v>45</v>
      </c>
      <c r="G30">
        <v>33858</v>
      </c>
      <c r="H30">
        <v>7</v>
      </c>
      <c r="I30">
        <v>3</v>
      </c>
      <c r="J30">
        <v>10</v>
      </c>
      <c r="K30" t="s">
        <v>17</v>
      </c>
      <c r="L30" t="s">
        <v>16</v>
      </c>
      <c r="M30" t="s">
        <v>16</v>
      </c>
    </row>
    <row r="31" spans="1:13" x14ac:dyDescent="0.2">
      <c r="A31">
        <v>4374</v>
      </c>
      <c r="B31" t="s">
        <v>89</v>
      </c>
      <c r="C31" t="s">
        <v>90</v>
      </c>
      <c r="D31">
        <v>273</v>
      </c>
      <c r="E31">
        <v>10</v>
      </c>
      <c r="F31" t="s">
        <v>91</v>
      </c>
      <c r="G31">
        <v>32159</v>
      </c>
      <c r="H31">
        <v>3</v>
      </c>
      <c r="I31">
        <v>3</v>
      </c>
      <c r="J31">
        <v>10</v>
      </c>
      <c r="K31" t="s">
        <v>17</v>
      </c>
      <c r="L31" t="s">
        <v>17</v>
      </c>
      <c r="M31" t="s">
        <v>16</v>
      </c>
    </row>
    <row r="32" spans="1:13" x14ac:dyDescent="0.2">
      <c r="A32">
        <v>3470</v>
      </c>
      <c r="B32" t="s">
        <v>92</v>
      </c>
      <c r="C32" t="s">
        <v>93</v>
      </c>
      <c r="D32">
        <v>229</v>
      </c>
      <c r="E32">
        <v>8</v>
      </c>
      <c r="F32" t="s">
        <v>94</v>
      </c>
      <c r="G32">
        <v>22084</v>
      </c>
      <c r="H32">
        <v>1</v>
      </c>
      <c r="I32">
        <v>4</v>
      </c>
      <c r="J32">
        <v>3</v>
      </c>
      <c r="K32" t="s">
        <v>16</v>
      </c>
      <c r="L32" t="s">
        <v>17</v>
      </c>
      <c r="M32" t="s">
        <v>16</v>
      </c>
    </row>
    <row r="33" spans="1:13" x14ac:dyDescent="0.2">
      <c r="A33">
        <v>2657</v>
      </c>
      <c r="B33" t="s">
        <v>95</v>
      </c>
      <c r="C33" t="s">
        <v>96</v>
      </c>
      <c r="D33">
        <v>254</v>
      </c>
      <c r="E33">
        <v>2</v>
      </c>
      <c r="F33" t="s">
        <v>53</v>
      </c>
      <c r="G33">
        <v>33258</v>
      </c>
      <c r="H33">
        <v>5</v>
      </c>
      <c r="I33">
        <v>2</v>
      </c>
      <c r="J33">
        <v>8</v>
      </c>
      <c r="K33" t="s">
        <v>16</v>
      </c>
      <c r="L33" t="s">
        <v>17</v>
      </c>
      <c r="M33" t="s">
        <v>16</v>
      </c>
    </row>
    <row r="34" spans="1:13" x14ac:dyDescent="0.2">
      <c r="A34">
        <v>3617</v>
      </c>
      <c r="B34" t="s">
        <v>97</v>
      </c>
      <c r="C34" t="s">
        <v>98</v>
      </c>
      <c r="D34">
        <v>97</v>
      </c>
      <c r="E34">
        <v>4</v>
      </c>
      <c r="F34" t="s">
        <v>73</v>
      </c>
      <c r="G34">
        <v>24580</v>
      </c>
      <c r="H34">
        <v>2</v>
      </c>
      <c r="I34">
        <v>2</v>
      </c>
      <c r="J34">
        <v>4</v>
      </c>
      <c r="K34" t="s">
        <v>16</v>
      </c>
      <c r="L34" t="s">
        <v>17</v>
      </c>
      <c r="M34" t="s">
        <v>17</v>
      </c>
    </row>
    <row r="35" spans="1:13" x14ac:dyDescent="0.2">
      <c r="A35">
        <v>2888</v>
      </c>
      <c r="B35" t="s">
        <v>99</v>
      </c>
      <c r="C35" t="s">
        <v>100</v>
      </c>
      <c r="D35">
        <v>271</v>
      </c>
      <c r="E35">
        <v>3</v>
      </c>
      <c r="F35" t="s">
        <v>101</v>
      </c>
      <c r="G35">
        <v>26644</v>
      </c>
      <c r="H35">
        <v>1</v>
      </c>
      <c r="I35">
        <v>1</v>
      </c>
      <c r="J35">
        <v>2</v>
      </c>
      <c r="K35" t="s">
        <v>17</v>
      </c>
      <c r="L35" t="s">
        <v>16</v>
      </c>
      <c r="M35" t="s">
        <v>16</v>
      </c>
    </row>
    <row r="36" spans="1:13" x14ac:dyDescent="0.2">
      <c r="A36">
        <v>4364</v>
      </c>
      <c r="B36" t="s">
        <v>102</v>
      </c>
      <c r="C36" t="s">
        <v>103</v>
      </c>
      <c r="D36">
        <v>167</v>
      </c>
      <c r="E36">
        <v>9</v>
      </c>
      <c r="F36" t="s">
        <v>70</v>
      </c>
      <c r="G36">
        <v>34011</v>
      </c>
      <c r="H36">
        <v>5</v>
      </c>
      <c r="I36">
        <v>5</v>
      </c>
      <c r="J36">
        <v>2</v>
      </c>
      <c r="K36" t="s">
        <v>16</v>
      </c>
      <c r="L36" t="s">
        <v>16</v>
      </c>
      <c r="M36" t="s">
        <v>16</v>
      </c>
    </row>
    <row r="37" spans="1:13" x14ac:dyDescent="0.2">
      <c r="A37">
        <v>3549</v>
      </c>
      <c r="B37" t="s">
        <v>104</v>
      </c>
      <c r="C37" t="s">
        <v>103</v>
      </c>
      <c r="D37">
        <v>148</v>
      </c>
      <c r="E37">
        <v>7</v>
      </c>
      <c r="F37" t="s">
        <v>45</v>
      </c>
      <c r="G37">
        <v>22980</v>
      </c>
      <c r="H37">
        <v>3</v>
      </c>
      <c r="I37">
        <v>1</v>
      </c>
      <c r="J37">
        <v>4</v>
      </c>
      <c r="K37" t="s">
        <v>17</v>
      </c>
      <c r="L37" t="s">
        <v>17</v>
      </c>
      <c r="M37" t="s">
        <v>16</v>
      </c>
    </row>
    <row r="38" spans="1:13" x14ac:dyDescent="0.2">
      <c r="A38">
        <v>3987</v>
      </c>
      <c r="B38" t="s">
        <v>105</v>
      </c>
      <c r="C38" t="s">
        <v>106</v>
      </c>
      <c r="D38">
        <v>87</v>
      </c>
      <c r="E38">
        <v>3</v>
      </c>
      <c r="F38" t="s">
        <v>82</v>
      </c>
      <c r="G38">
        <v>23455</v>
      </c>
      <c r="H38">
        <v>2</v>
      </c>
      <c r="I38">
        <v>2</v>
      </c>
      <c r="J38">
        <v>6</v>
      </c>
      <c r="K38" t="s">
        <v>17</v>
      </c>
      <c r="L38" t="s">
        <v>17</v>
      </c>
      <c r="M38" t="s">
        <v>16</v>
      </c>
    </row>
    <row r="39" spans="1:13" x14ac:dyDescent="0.2">
      <c r="A39">
        <v>3324</v>
      </c>
      <c r="B39" t="s">
        <v>107</v>
      </c>
      <c r="C39" t="s">
        <v>108</v>
      </c>
      <c r="D39">
        <v>62</v>
      </c>
      <c r="E39">
        <v>9</v>
      </c>
      <c r="F39" t="s">
        <v>109</v>
      </c>
      <c r="G39">
        <v>30833</v>
      </c>
      <c r="H39">
        <v>7</v>
      </c>
      <c r="I39">
        <v>3</v>
      </c>
      <c r="J39">
        <v>0</v>
      </c>
      <c r="K39" t="s">
        <v>16</v>
      </c>
      <c r="L39" t="s">
        <v>17</v>
      </c>
      <c r="M39" t="s">
        <v>17</v>
      </c>
    </row>
    <row r="40" spans="1:13" x14ac:dyDescent="0.2">
      <c r="A40">
        <v>5525</v>
      </c>
      <c r="B40" t="s">
        <v>110</v>
      </c>
      <c r="C40" t="s">
        <v>111</v>
      </c>
      <c r="D40">
        <v>66</v>
      </c>
      <c r="E40">
        <v>5</v>
      </c>
      <c r="F40" t="s">
        <v>40</v>
      </c>
      <c r="G40">
        <v>32936</v>
      </c>
      <c r="H40">
        <v>7</v>
      </c>
      <c r="I40">
        <v>3</v>
      </c>
      <c r="J40">
        <v>10</v>
      </c>
      <c r="K40" t="s">
        <v>17</v>
      </c>
      <c r="L40" t="s">
        <v>16</v>
      </c>
      <c r="M40" t="s">
        <v>17</v>
      </c>
    </row>
    <row r="41" spans="1:13" x14ac:dyDescent="0.2">
      <c r="A41">
        <v>4712</v>
      </c>
      <c r="B41" t="s">
        <v>112</v>
      </c>
      <c r="C41" t="s">
        <v>113</v>
      </c>
      <c r="D41">
        <v>240</v>
      </c>
      <c r="E41">
        <v>8</v>
      </c>
      <c r="F41" t="s">
        <v>40</v>
      </c>
      <c r="G41">
        <v>23639</v>
      </c>
      <c r="H41">
        <v>1</v>
      </c>
      <c r="I41">
        <v>4</v>
      </c>
      <c r="J41">
        <v>0</v>
      </c>
      <c r="K41" t="s">
        <v>17</v>
      </c>
      <c r="L41" t="s">
        <v>16</v>
      </c>
      <c r="M41" t="s">
        <v>17</v>
      </c>
    </row>
    <row r="42" spans="1:13" x14ac:dyDescent="0.2">
      <c r="A42">
        <v>3474</v>
      </c>
      <c r="B42" t="s">
        <v>114</v>
      </c>
      <c r="C42" t="s">
        <v>115</v>
      </c>
      <c r="D42">
        <v>285</v>
      </c>
      <c r="E42">
        <v>4</v>
      </c>
      <c r="F42" t="s">
        <v>91</v>
      </c>
      <c r="G42">
        <v>29550</v>
      </c>
      <c r="H42">
        <v>2</v>
      </c>
      <c r="I42">
        <v>5</v>
      </c>
      <c r="J42">
        <v>9</v>
      </c>
      <c r="K42" t="s">
        <v>17</v>
      </c>
      <c r="L42" t="s">
        <v>16</v>
      </c>
      <c r="M42" t="s">
        <v>16</v>
      </c>
    </row>
    <row r="43" spans="1:13" x14ac:dyDescent="0.2">
      <c r="A43">
        <v>2800</v>
      </c>
      <c r="B43" t="s">
        <v>116</v>
      </c>
      <c r="C43" t="s">
        <v>117</v>
      </c>
      <c r="D43">
        <v>101</v>
      </c>
      <c r="E43">
        <v>8</v>
      </c>
      <c r="F43" t="s">
        <v>40</v>
      </c>
      <c r="G43">
        <v>21855</v>
      </c>
      <c r="H43">
        <v>4</v>
      </c>
      <c r="I43">
        <v>1</v>
      </c>
      <c r="J43">
        <v>0</v>
      </c>
      <c r="K43" t="s">
        <v>17</v>
      </c>
      <c r="L43" t="s">
        <v>17</v>
      </c>
      <c r="M43" t="s">
        <v>17</v>
      </c>
    </row>
    <row r="44" spans="1:13" x14ac:dyDescent="0.2">
      <c r="A44">
        <v>3527</v>
      </c>
      <c r="B44" t="s">
        <v>118</v>
      </c>
      <c r="C44" t="s">
        <v>119</v>
      </c>
      <c r="D44">
        <v>94</v>
      </c>
      <c r="E44">
        <v>6</v>
      </c>
      <c r="F44" t="s">
        <v>82</v>
      </c>
      <c r="G44">
        <v>25895</v>
      </c>
      <c r="H44">
        <v>7</v>
      </c>
      <c r="I44">
        <v>1</v>
      </c>
      <c r="J44">
        <v>0</v>
      </c>
      <c r="K44" t="s">
        <v>16</v>
      </c>
      <c r="L44" t="s">
        <v>16</v>
      </c>
      <c r="M44" t="s">
        <v>16</v>
      </c>
    </row>
    <row r="45" spans="1:13" x14ac:dyDescent="0.2">
      <c r="A45">
        <v>4768</v>
      </c>
      <c r="B45" t="s">
        <v>120</v>
      </c>
      <c r="C45" t="s">
        <v>121</v>
      </c>
      <c r="D45">
        <v>22</v>
      </c>
      <c r="E45">
        <v>6</v>
      </c>
      <c r="F45" t="s">
        <v>48</v>
      </c>
      <c r="G45">
        <v>31635</v>
      </c>
      <c r="H45">
        <v>4</v>
      </c>
      <c r="I45">
        <v>3</v>
      </c>
      <c r="J45">
        <v>3</v>
      </c>
      <c r="K45" t="s">
        <v>17</v>
      </c>
      <c r="L45" t="s">
        <v>17</v>
      </c>
      <c r="M45" t="s">
        <v>16</v>
      </c>
    </row>
    <row r="46" spans="1:13" x14ac:dyDescent="0.2">
      <c r="A46">
        <v>2792</v>
      </c>
      <c r="B46" t="s">
        <v>122</v>
      </c>
      <c r="C46" t="s">
        <v>123</v>
      </c>
      <c r="D46">
        <v>177</v>
      </c>
      <c r="E46">
        <v>3</v>
      </c>
      <c r="F46" t="s">
        <v>124</v>
      </c>
      <c r="G46">
        <v>20320</v>
      </c>
      <c r="H46">
        <v>7</v>
      </c>
      <c r="I46">
        <v>4</v>
      </c>
      <c r="J46">
        <v>1</v>
      </c>
      <c r="K46" t="s">
        <v>17</v>
      </c>
      <c r="L46" t="s">
        <v>17</v>
      </c>
      <c r="M46" t="s">
        <v>17</v>
      </c>
    </row>
    <row r="47" spans="1:13" x14ac:dyDescent="0.2">
      <c r="A47">
        <v>4511</v>
      </c>
      <c r="B47" t="s">
        <v>125</v>
      </c>
      <c r="C47" t="s">
        <v>126</v>
      </c>
      <c r="D47">
        <v>151</v>
      </c>
      <c r="E47">
        <v>9</v>
      </c>
      <c r="F47" t="s">
        <v>127</v>
      </c>
      <c r="G47">
        <v>23122</v>
      </c>
      <c r="H47">
        <v>4</v>
      </c>
      <c r="I47">
        <v>4</v>
      </c>
      <c r="J47">
        <v>0</v>
      </c>
      <c r="K47" t="s">
        <v>16</v>
      </c>
      <c r="L47" t="s">
        <v>16</v>
      </c>
      <c r="M47" t="s">
        <v>16</v>
      </c>
    </row>
    <row r="48" spans="1:13" x14ac:dyDescent="0.2">
      <c r="A48">
        <v>3746</v>
      </c>
      <c r="B48" t="s">
        <v>128</v>
      </c>
      <c r="C48" t="s">
        <v>129</v>
      </c>
      <c r="D48">
        <v>33</v>
      </c>
      <c r="E48">
        <v>9</v>
      </c>
      <c r="F48" t="s">
        <v>130</v>
      </c>
      <c r="G48">
        <v>22429</v>
      </c>
      <c r="H48">
        <v>4</v>
      </c>
      <c r="I48">
        <v>4</v>
      </c>
      <c r="J48">
        <v>4</v>
      </c>
      <c r="K48" t="s">
        <v>17</v>
      </c>
      <c r="L48" t="s">
        <v>17</v>
      </c>
      <c r="M48" t="s">
        <v>16</v>
      </c>
    </row>
    <row r="49" spans="1:13" x14ac:dyDescent="0.2">
      <c r="A49">
        <v>5552</v>
      </c>
      <c r="B49" t="s">
        <v>131</v>
      </c>
      <c r="C49" t="s">
        <v>132</v>
      </c>
      <c r="D49">
        <v>199</v>
      </c>
      <c r="E49">
        <v>6</v>
      </c>
      <c r="F49" t="s">
        <v>63</v>
      </c>
      <c r="G49">
        <v>22603</v>
      </c>
      <c r="H49">
        <v>5</v>
      </c>
      <c r="I49">
        <v>1</v>
      </c>
      <c r="J49">
        <v>2</v>
      </c>
      <c r="K49" t="s">
        <v>17</v>
      </c>
      <c r="L49" t="s">
        <v>17</v>
      </c>
      <c r="M49" t="s">
        <v>16</v>
      </c>
    </row>
    <row r="50" spans="1:13" x14ac:dyDescent="0.2">
      <c r="A50">
        <v>3875</v>
      </c>
      <c r="B50" t="s">
        <v>133</v>
      </c>
      <c r="C50" t="s">
        <v>134</v>
      </c>
      <c r="D50">
        <v>255</v>
      </c>
      <c r="E50">
        <v>3</v>
      </c>
      <c r="F50" t="s">
        <v>101</v>
      </c>
      <c r="G50">
        <v>30127</v>
      </c>
      <c r="H50">
        <v>4</v>
      </c>
      <c r="I50">
        <v>3</v>
      </c>
      <c r="J50">
        <v>2</v>
      </c>
      <c r="K50" t="s">
        <v>17</v>
      </c>
      <c r="L50" t="s">
        <v>17</v>
      </c>
      <c r="M50" t="s">
        <v>17</v>
      </c>
    </row>
    <row r="51" spans="1:13" x14ac:dyDescent="0.2">
      <c r="A51">
        <v>4732</v>
      </c>
      <c r="B51" t="s">
        <v>135</v>
      </c>
      <c r="C51" t="s">
        <v>136</v>
      </c>
      <c r="D51">
        <v>28</v>
      </c>
      <c r="E51">
        <v>1</v>
      </c>
      <c r="F51" t="s">
        <v>137</v>
      </c>
      <c r="G51">
        <v>23797</v>
      </c>
      <c r="H51">
        <v>2</v>
      </c>
      <c r="I51">
        <v>5</v>
      </c>
      <c r="J51">
        <v>10</v>
      </c>
      <c r="K51" t="s">
        <v>17</v>
      </c>
      <c r="L51" t="s">
        <v>17</v>
      </c>
      <c r="M51" t="s">
        <v>17</v>
      </c>
    </row>
    <row r="52" spans="1:13" x14ac:dyDescent="0.2">
      <c r="A52">
        <v>4316</v>
      </c>
      <c r="B52" t="s">
        <v>138</v>
      </c>
      <c r="C52" t="s">
        <v>139</v>
      </c>
      <c r="D52">
        <v>72</v>
      </c>
      <c r="E52">
        <v>2</v>
      </c>
      <c r="F52" t="s">
        <v>109</v>
      </c>
      <c r="G52">
        <v>27788</v>
      </c>
      <c r="H52">
        <v>2</v>
      </c>
      <c r="I52">
        <v>2</v>
      </c>
      <c r="J52">
        <v>2</v>
      </c>
      <c r="K52" t="s">
        <v>16</v>
      </c>
      <c r="L52" t="s">
        <v>16</v>
      </c>
      <c r="M52" t="s">
        <v>17</v>
      </c>
    </row>
    <row r="53" spans="1:13" x14ac:dyDescent="0.2">
      <c r="A53">
        <v>5232</v>
      </c>
      <c r="B53" t="s">
        <v>140</v>
      </c>
      <c r="C53" t="s">
        <v>141</v>
      </c>
      <c r="D53">
        <v>253</v>
      </c>
      <c r="E53">
        <v>5</v>
      </c>
      <c r="F53" t="s">
        <v>142</v>
      </c>
      <c r="G53">
        <v>21768</v>
      </c>
      <c r="H53">
        <v>7</v>
      </c>
      <c r="I53">
        <v>1</v>
      </c>
      <c r="J53">
        <v>2</v>
      </c>
      <c r="K53" t="s">
        <v>16</v>
      </c>
      <c r="L53" t="s">
        <v>17</v>
      </c>
      <c r="M53" t="s">
        <v>16</v>
      </c>
    </row>
    <row r="54" spans="1:13" x14ac:dyDescent="0.2">
      <c r="A54">
        <v>3637</v>
      </c>
      <c r="B54" t="s">
        <v>143</v>
      </c>
      <c r="C54" t="s">
        <v>144</v>
      </c>
      <c r="D54">
        <v>161</v>
      </c>
      <c r="E54">
        <v>10</v>
      </c>
      <c r="F54" t="s">
        <v>26</v>
      </c>
      <c r="G54">
        <v>32311</v>
      </c>
      <c r="H54">
        <v>5</v>
      </c>
      <c r="I54">
        <v>2</v>
      </c>
      <c r="J54">
        <v>4</v>
      </c>
      <c r="K54" t="s">
        <v>16</v>
      </c>
      <c r="L54" t="s">
        <v>17</v>
      </c>
      <c r="M54" t="s">
        <v>17</v>
      </c>
    </row>
    <row r="55" spans="1:13" x14ac:dyDescent="0.2">
      <c r="A55">
        <v>4673</v>
      </c>
      <c r="B55" t="s">
        <v>145</v>
      </c>
      <c r="C55" t="s">
        <v>146</v>
      </c>
      <c r="D55">
        <v>73</v>
      </c>
      <c r="E55">
        <v>4</v>
      </c>
      <c r="F55" t="s">
        <v>147</v>
      </c>
      <c r="G55">
        <v>29893</v>
      </c>
      <c r="H55">
        <v>7</v>
      </c>
      <c r="I55">
        <v>3</v>
      </c>
      <c r="J55">
        <v>3</v>
      </c>
      <c r="K55" t="s">
        <v>16</v>
      </c>
      <c r="L55" t="s">
        <v>16</v>
      </c>
      <c r="M55" t="s">
        <v>17</v>
      </c>
    </row>
    <row r="56" spans="1:13" x14ac:dyDescent="0.2">
      <c r="A56">
        <v>4699</v>
      </c>
      <c r="B56" t="s">
        <v>148</v>
      </c>
      <c r="C56" t="s">
        <v>149</v>
      </c>
      <c r="D56">
        <v>71</v>
      </c>
      <c r="E56">
        <v>5</v>
      </c>
      <c r="F56" t="s">
        <v>23</v>
      </c>
      <c r="G56">
        <v>20360</v>
      </c>
      <c r="H56">
        <v>7</v>
      </c>
      <c r="I56">
        <v>3</v>
      </c>
      <c r="J56">
        <v>7</v>
      </c>
      <c r="K56" t="s">
        <v>17</v>
      </c>
      <c r="L56" t="s">
        <v>17</v>
      </c>
      <c r="M56" t="s">
        <v>16</v>
      </c>
    </row>
    <row r="57" spans="1:13" x14ac:dyDescent="0.2">
      <c r="A57">
        <v>2412</v>
      </c>
      <c r="B57" t="s">
        <v>150</v>
      </c>
      <c r="C57" t="s">
        <v>151</v>
      </c>
      <c r="D57">
        <v>178</v>
      </c>
      <c r="E57">
        <v>1</v>
      </c>
      <c r="F57" t="s">
        <v>40</v>
      </c>
      <c r="G57">
        <v>32649</v>
      </c>
      <c r="H57">
        <v>5</v>
      </c>
      <c r="I57">
        <v>5</v>
      </c>
      <c r="J57">
        <v>0</v>
      </c>
      <c r="K57" t="s">
        <v>16</v>
      </c>
      <c r="L57" t="s">
        <v>17</v>
      </c>
      <c r="M57" t="s">
        <v>17</v>
      </c>
    </row>
    <row r="58" spans="1:13" x14ac:dyDescent="0.2">
      <c r="A58">
        <v>5019</v>
      </c>
      <c r="B58" t="s">
        <v>152</v>
      </c>
      <c r="C58" t="s">
        <v>153</v>
      </c>
      <c r="D58">
        <v>121</v>
      </c>
      <c r="E58">
        <v>5</v>
      </c>
      <c r="F58" t="s">
        <v>73</v>
      </c>
      <c r="G58">
        <v>23236</v>
      </c>
      <c r="H58">
        <v>5</v>
      </c>
      <c r="I58">
        <v>5</v>
      </c>
      <c r="J58">
        <v>8</v>
      </c>
      <c r="K58" t="s">
        <v>16</v>
      </c>
      <c r="L58" t="s">
        <v>17</v>
      </c>
      <c r="M58" t="s">
        <v>16</v>
      </c>
    </row>
    <row r="59" spans="1:13" x14ac:dyDescent="0.2">
      <c r="A59">
        <v>4590</v>
      </c>
      <c r="B59" t="s">
        <v>154</v>
      </c>
      <c r="C59" t="s">
        <v>155</v>
      </c>
      <c r="D59">
        <v>119</v>
      </c>
      <c r="E59">
        <v>7</v>
      </c>
      <c r="F59" t="s">
        <v>15</v>
      </c>
      <c r="G59">
        <v>29545</v>
      </c>
      <c r="H59">
        <v>4</v>
      </c>
      <c r="I59">
        <v>2</v>
      </c>
      <c r="J59">
        <v>3</v>
      </c>
      <c r="K59" t="s">
        <v>16</v>
      </c>
      <c r="L59" t="s">
        <v>17</v>
      </c>
      <c r="M59" t="s">
        <v>16</v>
      </c>
    </row>
    <row r="60" spans="1:13" x14ac:dyDescent="0.2">
      <c r="A60">
        <v>2713</v>
      </c>
      <c r="B60" t="s">
        <v>156</v>
      </c>
      <c r="C60" t="s">
        <v>157</v>
      </c>
      <c r="D60">
        <v>40</v>
      </c>
      <c r="E60">
        <v>7</v>
      </c>
      <c r="F60" t="s">
        <v>45</v>
      </c>
      <c r="G60">
        <v>33204</v>
      </c>
      <c r="H60">
        <v>2</v>
      </c>
      <c r="I60">
        <v>2</v>
      </c>
      <c r="J60">
        <v>1</v>
      </c>
      <c r="K60" t="s">
        <v>16</v>
      </c>
      <c r="L60" t="s">
        <v>16</v>
      </c>
      <c r="M60" t="s">
        <v>16</v>
      </c>
    </row>
    <row r="61" spans="1:13" x14ac:dyDescent="0.2">
      <c r="A61">
        <v>2766</v>
      </c>
      <c r="B61" t="s">
        <v>158</v>
      </c>
      <c r="C61" t="s">
        <v>159</v>
      </c>
      <c r="D61">
        <v>140</v>
      </c>
      <c r="E61">
        <v>2</v>
      </c>
      <c r="F61" t="s">
        <v>101</v>
      </c>
      <c r="G61">
        <v>30986</v>
      </c>
      <c r="H61">
        <v>1</v>
      </c>
      <c r="I61">
        <v>2</v>
      </c>
      <c r="J61">
        <v>1</v>
      </c>
      <c r="K61" t="s">
        <v>17</v>
      </c>
      <c r="L61" t="s">
        <v>16</v>
      </c>
      <c r="M61" t="s">
        <v>16</v>
      </c>
    </row>
    <row r="62" spans="1:13" x14ac:dyDescent="0.2">
      <c r="A62">
        <v>2523</v>
      </c>
      <c r="B62" t="s">
        <v>160</v>
      </c>
      <c r="C62" t="s">
        <v>161</v>
      </c>
      <c r="D62">
        <v>139</v>
      </c>
      <c r="E62">
        <v>8</v>
      </c>
      <c r="F62" t="s">
        <v>23</v>
      </c>
      <c r="G62">
        <v>33127</v>
      </c>
      <c r="H62">
        <v>2</v>
      </c>
      <c r="I62">
        <v>2</v>
      </c>
      <c r="J62">
        <v>4</v>
      </c>
      <c r="K62" t="s">
        <v>17</v>
      </c>
      <c r="L62" t="s">
        <v>16</v>
      </c>
      <c r="M62" t="s">
        <v>17</v>
      </c>
    </row>
    <row r="63" spans="1:13" x14ac:dyDescent="0.2">
      <c r="A63">
        <v>4144</v>
      </c>
      <c r="B63" t="s">
        <v>162</v>
      </c>
      <c r="C63" t="s">
        <v>163</v>
      </c>
      <c r="D63">
        <v>89</v>
      </c>
      <c r="E63">
        <v>9</v>
      </c>
      <c r="F63" t="s">
        <v>164</v>
      </c>
      <c r="G63">
        <v>30746</v>
      </c>
      <c r="H63">
        <v>7</v>
      </c>
      <c r="I63">
        <v>1</v>
      </c>
      <c r="J63">
        <v>2</v>
      </c>
      <c r="K63" t="s">
        <v>17</v>
      </c>
      <c r="L63" t="s">
        <v>16</v>
      </c>
      <c r="M63" t="s">
        <v>17</v>
      </c>
    </row>
    <row r="64" spans="1:13" x14ac:dyDescent="0.2">
      <c r="A64">
        <v>3552</v>
      </c>
      <c r="B64" t="s">
        <v>165</v>
      </c>
      <c r="C64" t="s">
        <v>166</v>
      </c>
      <c r="D64">
        <v>152</v>
      </c>
      <c r="E64">
        <v>9</v>
      </c>
      <c r="F64" t="s">
        <v>58</v>
      </c>
      <c r="G64">
        <v>25339</v>
      </c>
      <c r="H64">
        <v>2</v>
      </c>
      <c r="I64">
        <v>4</v>
      </c>
      <c r="J64">
        <v>8</v>
      </c>
      <c r="K64" t="s">
        <v>16</v>
      </c>
      <c r="L64" t="s">
        <v>17</v>
      </c>
      <c r="M64" t="s">
        <v>17</v>
      </c>
    </row>
    <row r="65" spans="1:13" x14ac:dyDescent="0.2">
      <c r="A65">
        <v>3193</v>
      </c>
      <c r="B65" t="s">
        <v>167</v>
      </c>
      <c r="C65" t="s">
        <v>168</v>
      </c>
      <c r="D65">
        <v>36</v>
      </c>
      <c r="E65">
        <v>5</v>
      </c>
      <c r="F65" t="s">
        <v>94</v>
      </c>
      <c r="G65">
        <v>28734</v>
      </c>
      <c r="H65">
        <v>4</v>
      </c>
      <c r="I65">
        <v>5</v>
      </c>
      <c r="J65">
        <v>10</v>
      </c>
      <c r="K65" t="s">
        <v>17</v>
      </c>
      <c r="L65" t="s">
        <v>16</v>
      </c>
      <c r="M65" t="s">
        <v>16</v>
      </c>
    </row>
    <row r="66" spans="1:13" x14ac:dyDescent="0.2">
      <c r="A66">
        <v>2790</v>
      </c>
      <c r="B66" t="s">
        <v>169</v>
      </c>
      <c r="C66" t="s">
        <v>170</v>
      </c>
      <c r="D66">
        <v>284</v>
      </c>
      <c r="E66">
        <v>1</v>
      </c>
      <c r="F66" t="s">
        <v>29</v>
      </c>
      <c r="G66">
        <v>29686</v>
      </c>
      <c r="H66">
        <v>1</v>
      </c>
      <c r="I66">
        <v>3</v>
      </c>
      <c r="J66">
        <v>6</v>
      </c>
      <c r="K66" t="s">
        <v>16</v>
      </c>
      <c r="L66" t="s">
        <v>16</v>
      </c>
      <c r="M66" t="s">
        <v>17</v>
      </c>
    </row>
    <row r="67" spans="1:13" x14ac:dyDescent="0.2">
      <c r="A67">
        <v>2452</v>
      </c>
      <c r="B67" t="s">
        <v>171</v>
      </c>
      <c r="C67" t="s">
        <v>172</v>
      </c>
      <c r="D67">
        <v>141</v>
      </c>
      <c r="E67">
        <v>3</v>
      </c>
      <c r="F67" t="s">
        <v>20</v>
      </c>
      <c r="G67">
        <v>26015</v>
      </c>
      <c r="H67">
        <v>1</v>
      </c>
      <c r="I67">
        <v>1</v>
      </c>
      <c r="J67">
        <v>5</v>
      </c>
      <c r="K67" t="s">
        <v>16</v>
      </c>
      <c r="L67" t="s">
        <v>16</v>
      </c>
      <c r="M67" t="s">
        <v>16</v>
      </c>
    </row>
    <row r="68" spans="1:13" x14ac:dyDescent="0.2">
      <c r="A68">
        <v>3648</v>
      </c>
      <c r="B68" t="s">
        <v>173</v>
      </c>
      <c r="C68" t="s">
        <v>174</v>
      </c>
      <c r="D68">
        <v>138</v>
      </c>
      <c r="E68">
        <v>4</v>
      </c>
      <c r="F68" t="s">
        <v>94</v>
      </c>
      <c r="G68">
        <v>34749</v>
      </c>
      <c r="H68">
        <v>5</v>
      </c>
      <c r="I68">
        <v>5</v>
      </c>
      <c r="J68">
        <v>2</v>
      </c>
      <c r="K68" t="s">
        <v>17</v>
      </c>
      <c r="L68" t="s">
        <v>16</v>
      </c>
      <c r="M68" t="s">
        <v>16</v>
      </c>
    </row>
    <row r="69" spans="1:13" x14ac:dyDescent="0.2">
      <c r="A69">
        <v>3866</v>
      </c>
      <c r="B69" t="s">
        <v>175</v>
      </c>
      <c r="C69" t="s">
        <v>176</v>
      </c>
      <c r="D69">
        <v>157</v>
      </c>
      <c r="E69">
        <v>4</v>
      </c>
      <c r="F69" t="s">
        <v>48</v>
      </c>
      <c r="G69">
        <v>27787</v>
      </c>
      <c r="H69">
        <v>6</v>
      </c>
      <c r="I69">
        <v>4</v>
      </c>
      <c r="J69">
        <v>2</v>
      </c>
      <c r="K69" t="s">
        <v>16</v>
      </c>
      <c r="L69" t="s">
        <v>17</v>
      </c>
      <c r="M69" t="s">
        <v>16</v>
      </c>
    </row>
    <row r="70" spans="1:13" x14ac:dyDescent="0.2">
      <c r="A70">
        <v>4811</v>
      </c>
      <c r="B70" t="s">
        <v>177</v>
      </c>
      <c r="C70" t="s">
        <v>178</v>
      </c>
      <c r="D70">
        <v>114</v>
      </c>
      <c r="E70">
        <v>4</v>
      </c>
      <c r="F70" t="s">
        <v>179</v>
      </c>
      <c r="G70">
        <v>34336</v>
      </c>
      <c r="H70">
        <v>6</v>
      </c>
      <c r="I70">
        <v>2</v>
      </c>
      <c r="J70">
        <v>3</v>
      </c>
      <c r="K70" t="s">
        <v>16</v>
      </c>
      <c r="L70" t="s">
        <v>17</v>
      </c>
      <c r="M70" t="s">
        <v>17</v>
      </c>
    </row>
    <row r="71" spans="1:13" x14ac:dyDescent="0.2">
      <c r="A71">
        <v>4675</v>
      </c>
      <c r="B71" t="s">
        <v>180</v>
      </c>
      <c r="C71" t="s">
        <v>181</v>
      </c>
      <c r="D71">
        <v>98</v>
      </c>
      <c r="E71">
        <v>7</v>
      </c>
      <c r="F71" t="s">
        <v>26</v>
      </c>
      <c r="G71">
        <v>32217</v>
      </c>
      <c r="H71">
        <v>2</v>
      </c>
      <c r="I71">
        <v>1</v>
      </c>
      <c r="J71">
        <v>7</v>
      </c>
      <c r="K71" t="s">
        <v>16</v>
      </c>
      <c r="L71" t="s">
        <v>17</v>
      </c>
      <c r="M71" t="s">
        <v>16</v>
      </c>
    </row>
    <row r="72" spans="1:13" x14ac:dyDescent="0.2">
      <c r="A72">
        <v>2356</v>
      </c>
      <c r="B72" t="s">
        <v>182</v>
      </c>
      <c r="C72" t="s">
        <v>183</v>
      </c>
      <c r="D72">
        <v>57</v>
      </c>
      <c r="E72">
        <v>10</v>
      </c>
      <c r="F72" t="s">
        <v>184</v>
      </c>
      <c r="G72">
        <v>20564</v>
      </c>
      <c r="H72">
        <v>4</v>
      </c>
      <c r="I72">
        <v>1</v>
      </c>
      <c r="J72">
        <v>7</v>
      </c>
      <c r="K72" t="s">
        <v>17</v>
      </c>
      <c r="L72" t="s">
        <v>16</v>
      </c>
      <c r="M72" t="s">
        <v>17</v>
      </c>
    </row>
    <row r="73" spans="1:13" x14ac:dyDescent="0.2">
      <c r="A73">
        <v>5021</v>
      </c>
      <c r="B73" t="s">
        <v>185</v>
      </c>
      <c r="C73" t="s">
        <v>186</v>
      </c>
      <c r="D73">
        <v>107</v>
      </c>
      <c r="E73">
        <v>4</v>
      </c>
      <c r="F73" t="s">
        <v>82</v>
      </c>
      <c r="G73">
        <v>33324</v>
      </c>
      <c r="H73">
        <v>7</v>
      </c>
      <c r="I73">
        <v>3</v>
      </c>
      <c r="J73">
        <v>3</v>
      </c>
      <c r="K73" t="s">
        <v>17</v>
      </c>
      <c r="L73" t="s">
        <v>17</v>
      </c>
      <c r="M73" t="s">
        <v>16</v>
      </c>
    </row>
    <row r="74" spans="1:13" x14ac:dyDescent="0.2">
      <c r="A74">
        <v>3022</v>
      </c>
      <c r="B74" t="s">
        <v>187</v>
      </c>
      <c r="C74" t="s">
        <v>188</v>
      </c>
      <c r="D74">
        <v>150</v>
      </c>
      <c r="E74">
        <v>3</v>
      </c>
      <c r="F74" t="s">
        <v>189</v>
      </c>
      <c r="G74">
        <v>32170</v>
      </c>
      <c r="H74">
        <v>6</v>
      </c>
      <c r="I74">
        <v>3</v>
      </c>
      <c r="J74">
        <v>0</v>
      </c>
      <c r="K74" t="s">
        <v>17</v>
      </c>
      <c r="L74" t="s">
        <v>16</v>
      </c>
      <c r="M74" t="s">
        <v>16</v>
      </c>
    </row>
    <row r="75" spans="1:13" x14ac:dyDescent="0.2">
      <c r="A75">
        <v>5567</v>
      </c>
      <c r="B75" t="s">
        <v>190</v>
      </c>
      <c r="C75" t="s">
        <v>191</v>
      </c>
      <c r="D75">
        <v>286</v>
      </c>
      <c r="E75">
        <v>2</v>
      </c>
      <c r="F75" t="s">
        <v>45</v>
      </c>
      <c r="G75">
        <v>28039</v>
      </c>
      <c r="H75">
        <v>1</v>
      </c>
      <c r="I75">
        <v>3</v>
      </c>
      <c r="J75">
        <v>6</v>
      </c>
      <c r="K75" t="s">
        <v>16</v>
      </c>
      <c r="L75" t="s">
        <v>16</v>
      </c>
      <c r="M75" t="s">
        <v>16</v>
      </c>
    </row>
    <row r="76" spans="1:13" x14ac:dyDescent="0.2">
      <c r="A76">
        <v>5523</v>
      </c>
      <c r="B76" t="s">
        <v>192</v>
      </c>
      <c r="C76" t="s">
        <v>193</v>
      </c>
      <c r="D76">
        <v>151</v>
      </c>
      <c r="E76">
        <v>7</v>
      </c>
      <c r="F76" t="s">
        <v>194</v>
      </c>
      <c r="G76">
        <v>34647</v>
      </c>
      <c r="H76">
        <v>3</v>
      </c>
      <c r="I76">
        <v>2</v>
      </c>
      <c r="J76">
        <v>3</v>
      </c>
      <c r="K76" t="s">
        <v>17</v>
      </c>
      <c r="L76" t="s">
        <v>17</v>
      </c>
      <c r="M76" t="s">
        <v>16</v>
      </c>
    </row>
    <row r="77" spans="1:13" x14ac:dyDescent="0.2">
      <c r="A77">
        <v>2498</v>
      </c>
      <c r="B77" t="s">
        <v>195</v>
      </c>
      <c r="C77" t="s">
        <v>196</v>
      </c>
      <c r="D77">
        <v>235</v>
      </c>
      <c r="E77">
        <v>7</v>
      </c>
      <c r="F77" t="s">
        <v>53</v>
      </c>
      <c r="G77">
        <v>26797</v>
      </c>
      <c r="H77">
        <v>5</v>
      </c>
      <c r="I77">
        <v>2</v>
      </c>
      <c r="J77">
        <v>7</v>
      </c>
      <c r="K77" t="s">
        <v>17</v>
      </c>
      <c r="L77" t="s">
        <v>16</v>
      </c>
      <c r="M77" t="s">
        <v>17</v>
      </c>
    </row>
    <row r="78" spans="1:13" x14ac:dyDescent="0.2">
      <c r="A78">
        <v>2986</v>
      </c>
      <c r="B78" t="s">
        <v>197</v>
      </c>
      <c r="C78" t="s">
        <v>198</v>
      </c>
      <c r="D78">
        <v>226</v>
      </c>
      <c r="E78">
        <v>1</v>
      </c>
      <c r="F78" t="s">
        <v>53</v>
      </c>
      <c r="G78">
        <v>27105</v>
      </c>
      <c r="H78">
        <v>4</v>
      </c>
      <c r="I78">
        <v>1</v>
      </c>
      <c r="J78">
        <v>2</v>
      </c>
      <c r="K78" t="s">
        <v>16</v>
      </c>
      <c r="L78" t="s">
        <v>16</v>
      </c>
      <c r="M78" t="s">
        <v>16</v>
      </c>
    </row>
    <row r="79" spans="1:13" x14ac:dyDescent="0.2">
      <c r="A79">
        <v>2739</v>
      </c>
      <c r="B79" t="s">
        <v>199</v>
      </c>
      <c r="C79" t="s">
        <v>200</v>
      </c>
      <c r="D79">
        <v>68</v>
      </c>
      <c r="E79">
        <v>6</v>
      </c>
      <c r="F79" t="s">
        <v>34</v>
      </c>
      <c r="G79">
        <v>21271</v>
      </c>
      <c r="H79">
        <v>3</v>
      </c>
      <c r="I79">
        <v>4</v>
      </c>
      <c r="J79">
        <v>9</v>
      </c>
      <c r="K79" t="s">
        <v>17</v>
      </c>
      <c r="L79" t="s">
        <v>16</v>
      </c>
      <c r="M79" t="s">
        <v>17</v>
      </c>
    </row>
    <row r="80" spans="1:13" x14ac:dyDescent="0.2">
      <c r="A80">
        <v>5307</v>
      </c>
      <c r="B80" t="s">
        <v>201</v>
      </c>
      <c r="C80" t="s">
        <v>202</v>
      </c>
      <c r="D80">
        <v>209</v>
      </c>
      <c r="E80">
        <v>9</v>
      </c>
      <c r="F80" t="s">
        <v>67</v>
      </c>
      <c r="G80">
        <v>34232</v>
      </c>
      <c r="H80">
        <v>5</v>
      </c>
      <c r="I80">
        <v>5</v>
      </c>
      <c r="J80">
        <v>8</v>
      </c>
      <c r="K80" t="s">
        <v>16</v>
      </c>
      <c r="L80" t="s">
        <v>17</v>
      </c>
      <c r="M80" t="s">
        <v>16</v>
      </c>
    </row>
    <row r="81" spans="1:13" x14ac:dyDescent="0.2">
      <c r="A81">
        <v>4932</v>
      </c>
      <c r="B81" t="s">
        <v>203</v>
      </c>
      <c r="C81" t="s">
        <v>204</v>
      </c>
      <c r="D81">
        <v>162</v>
      </c>
      <c r="E81">
        <v>8</v>
      </c>
      <c r="F81" t="s">
        <v>73</v>
      </c>
      <c r="G81">
        <v>31802</v>
      </c>
      <c r="H81">
        <v>7</v>
      </c>
      <c r="I81">
        <v>5</v>
      </c>
      <c r="J81">
        <v>3</v>
      </c>
      <c r="K81" t="s">
        <v>16</v>
      </c>
      <c r="L81" t="s">
        <v>17</v>
      </c>
      <c r="M81" t="s">
        <v>16</v>
      </c>
    </row>
    <row r="82" spans="1:13" x14ac:dyDescent="0.2">
      <c r="A82">
        <v>4105</v>
      </c>
      <c r="B82" t="s">
        <v>205</v>
      </c>
      <c r="C82" t="s">
        <v>206</v>
      </c>
      <c r="D82">
        <v>266</v>
      </c>
      <c r="E82">
        <v>6</v>
      </c>
      <c r="F82" t="s">
        <v>109</v>
      </c>
      <c r="G82">
        <v>21931</v>
      </c>
      <c r="H82">
        <v>5</v>
      </c>
      <c r="I82">
        <v>5</v>
      </c>
      <c r="J82">
        <v>0</v>
      </c>
      <c r="K82" t="s">
        <v>16</v>
      </c>
      <c r="L82" t="s">
        <v>17</v>
      </c>
      <c r="M82" t="s">
        <v>17</v>
      </c>
    </row>
    <row r="83" spans="1:13" x14ac:dyDescent="0.2">
      <c r="A83">
        <v>4431</v>
      </c>
      <c r="B83" t="s">
        <v>207</v>
      </c>
      <c r="C83" t="s">
        <v>208</v>
      </c>
      <c r="D83">
        <v>217</v>
      </c>
      <c r="E83">
        <v>3</v>
      </c>
      <c r="F83" t="s">
        <v>29</v>
      </c>
      <c r="G83">
        <v>34009</v>
      </c>
      <c r="H83">
        <v>7</v>
      </c>
      <c r="I83">
        <v>3</v>
      </c>
      <c r="J83">
        <v>2</v>
      </c>
      <c r="K83" t="s">
        <v>16</v>
      </c>
      <c r="L83" t="s">
        <v>16</v>
      </c>
      <c r="M83" t="s">
        <v>16</v>
      </c>
    </row>
    <row r="84" spans="1:13" x14ac:dyDescent="0.2">
      <c r="A84">
        <v>4520</v>
      </c>
      <c r="B84" t="s">
        <v>209</v>
      </c>
      <c r="C84" t="s">
        <v>210</v>
      </c>
      <c r="D84">
        <v>180</v>
      </c>
      <c r="E84">
        <v>9</v>
      </c>
      <c r="F84" t="s">
        <v>40</v>
      </c>
      <c r="G84">
        <v>24612</v>
      </c>
      <c r="H84">
        <v>4</v>
      </c>
      <c r="I84">
        <v>4</v>
      </c>
      <c r="J84">
        <v>2</v>
      </c>
      <c r="K84" t="s">
        <v>17</v>
      </c>
      <c r="L84" t="s">
        <v>17</v>
      </c>
      <c r="M84" t="s">
        <v>17</v>
      </c>
    </row>
    <row r="85" spans="1:13" x14ac:dyDescent="0.2">
      <c r="A85">
        <v>4034</v>
      </c>
      <c r="B85" t="s">
        <v>211</v>
      </c>
      <c r="C85" t="s">
        <v>212</v>
      </c>
      <c r="D85">
        <v>268</v>
      </c>
      <c r="E85">
        <v>5</v>
      </c>
      <c r="F85" t="s">
        <v>63</v>
      </c>
      <c r="G85">
        <v>23122</v>
      </c>
      <c r="H85">
        <v>4</v>
      </c>
      <c r="I85">
        <v>2</v>
      </c>
      <c r="J85">
        <v>5</v>
      </c>
      <c r="K85" t="s">
        <v>17</v>
      </c>
      <c r="L85" t="s">
        <v>17</v>
      </c>
      <c r="M85" t="s">
        <v>17</v>
      </c>
    </row>
    <row r="86" spans="1:13" x14ac:dyDescent="0.2">
      <c r="A86">
        <v>3355</v>
      </c>
      <c r="B86" t="s">
        <v>213</v>
      </c>
      <c r="C86" t="s">
        <v>214</v>
      </c>
      <c r="D86">
        <v>99</v>
      </c>
      <c r="E86">
        <v>5</v>
      </c>
      <c r="F86" t="s">
        <v>53</v>
      </c>
      <c r="G86">
        <v>33815</v>
      </c>
      <c r="H86">
        <v>2</v>
      </c>
      <c r="I86">
        <v>3</v>
      </c>
      <c r="J86">
        <v>1</v>
      </c>
      <c r="K86" t="s">
        <v>17</v>
      </c>
      <c r="L86" t="s">
        <v>16</v>
      </c>
      <c r="M86" t="s">
        <v>16</v>
      </c>
    </row>
    <row r="87" spans="1:13" x14ac:dyDescent="0.2">
      <c r="A87">
        <v>5439</v>
      </c>
      <c r="B87" t="s">
        <v>215</v>
      </c>
      <c r="C87" t="s">
        <v>216</v>
      </c>
      <c r="D87">
        <v>23</v>
      </c>
      <c r="E87">
        <v>5</v>
      </c>
      <c r="F87" t="s">
        <v>142</v>
      </c>
      <c r="G87">
        <v>30893</v>
      </c>
      <c r="H87">
        <v>4</v>
      </c>
      <c r="I87">
        <v>5</v>
      </c>
      <c r="J87">
        <v>8</v>
      </c>
      <c r="K87" t="s">
        <v>16</v>
      </c>
      <c r="L87" t="s">
        <v>17</v>
      </c>
      <c r="M87" t="s">
        <v>17</v>
      </c>
    </row>
    <row r="88" spans="1:13" x14ac:dyDescent="0.2">
      <c r="A88">
        <v>5353</v>
      </c>
      <c r="B88" t="s">
        <v>217</v>
      </c>
      <c r="C88" t="s">
        <v>218</v>
      </c>
      <c r="D88">
        <v>275</v>
      </c>
      <c r="E88">
        <v>4</v>
      </c>
      <c r="F88" t="s">
        <v>29</v>
      </c>
      <c r="G88">
        <v>22717</v>
      </c>
      <c r="H88">
        <v>7</v>
      </c>
      <c r="I88">
        <v>2</v>
      </c>
      <c r="J88">
        <v>3</v>
      </c>
      <c r="K88" t="s">
        <v>17</v>
      </c>
      <c r="L88" t="s">
        <v>16</v>
      </c>
      <c r="M88" t="s">
        <v>16</v>
      </c>
    </row>
    <row r="89" spans="1:13" x14ac:dyDescent="0.2">
      <c r="A89">
        <v>4083</v>
      </c>
      <c r="B89" t="s">
        <v>219</v>
      </c>
      <c r="C89" t="s">
        <v>220</v>
      </c>
      <c r="D89">
        <v>232</v>
      </c>
      <c r="E89">
        <v>10</v>
      </c>
      <c r="F89" t="s">
        <v>29</v>
      </c>
      <c r="G89">
        <v>30870</v>
      </c>
      <c r="H89">
        <v>2</v>
      </c>
      <c r="I89">
        <v>3</v>
      </c>
      <c r="J89">
        <v>9</v>
      </c>
      <c r="K89" t="s">
        <v>16</v>
      </c>
      <c r="L89" t="s">
        <v>16</v>
      </c>
      <c r="M89" t="s">
        <v>16</v>
      </c>
    </row>
    <row r="90" spans="1:13" x14ac:dyDescent="0.2">
      <c r="A90">
        <v>4087</v>
      </c>
      <c r="B90" t="s">
        <v>221</v>
      </c>
      <c r="C90" t="s">
        <v>222</v>
      </c>
      <c r="D90">
        <v>209</v>
      </c>
      <c r="E90">
        <v>5</v>
      </c>
      <c r="F90" t="s">
        <v>130</v>
      </c>
      <c r="G90">
        <v>27455</v>
      </c>
      <c r="H90">
        <v>3</v>
      </c>
      <c r="I90">
        <v>2</v>
      </c>
      <c r="J90">
        <v>3</v>
      </c>
      <c r="K90" t="s">
        <v>16</v>
      </c>
      <c r="L90" t="s">
        <v>16</v>
      </c>
      <c r="M90" t="s">
        <v>17</v>
      </c>
    </row>
    <row r="91" spans="1:13" x14ac:dyDescent="0.2">
      <c r="A91">
        <v>4944</v>
      </c>
      <c r="B91" t="s">
        <v>223</v>
      </c>
      <c r="C91" t="s">
        <v>224</v>
      </c>
      <c r="D91">
        <v>217</v>
      </c>
      <c r="E91">
        <v>2</v>
      </c>
      <c r="F91" t="s">
        <v>63</v>
      </c>
      <c r="G91">
        <v>20391</v>
      </c>
      <c r="H91">
        <v>4</v>
      </c>
      <c r="I91">
        <v>5</v>
      </c>
      <c r="J91">
        <v>6</v>
      </c>
      <c r="K91" t="s">
        <v>16</v>
      </c>
      <c r="L91" t="s">
        <v>16</v>
      </c>
      <c r="M91" t="s">
        <v>16</v>
      </c>
    </row>
    <row r="92" spans="1:13" x14ac:dyDescent="0.2">
      <c r="A92">
        <v>3527</v>
      </c>
      <c r="B92" t="s">
        <v>225</v>
      </c>
      <c r="C92" t="s">
        <v>226</v>
      </c>
      <c r="D92">
        <v>283</v>
      </c>
      <c r="E92">
        <v>5</v>
      </c>
      <c r="F92" t="s">
        <v>45</v>
      </c>
      <c r="G92">
        <v>22518</v>
      </c>
      <c r="H92">
        <v>2</v>
      </c>
      <c r="I92">
        <v>2</v>
      </c>
      <c r="J92">
        <v>9</v>
      </c>
      <c r="K92" t="s">
        <v>17</v>
      </c>
      <c r="L92" t="s">
        <v>17</v>
      </c>
      <c r="M92" t="s">
        <v>16</v>
      </c>
    </row>
    <row r="93" spans="1:13" x14ac:dyDescent="0.2">
      <c r="A93">
        <v>4843</v>
      </c>
      <c r="B93" t="s">
        <v>227</v>
      </c>
      <c r="C93" t="s">
        <v>228</v>
      </c>
      <c r="D93">
        <v>163</v>
      </c>
      <c r="E93">
        <v>7</v>
      </c>
      <c r="F93" t="s">
        <v>34</v>
      </c>
      <c r="G93">
        <v>33279</v>
      </c>
      <c r="H93">
        <v>5</v>
      </c>
      <c r="I93">
        <v>3</v>
      </c>
      <c r="J93">
        <v>1</v>
      </c>
      <c r="K93" t="s">
        <v>16</v>
      </c>
      <c r="L93" t="s">
        <v>17</v>
      </c>
      <c r="M93" t="s">
        <v>16</v>
      </c>
    </row>
    <row r="94" spans="1:13" x14ac:dyDescent="0.2">
      <c r="A94">
        <v>3299</v>
      </c>
      <c r="B94" t="s">
        <v>229</v>
      </c>
      <c r="C94" t="s">
        <v>230</v>
      </c>
      <c r="D94">
        <v>27</v>
      </c>
      <c r="E94">
        <v>3</v>
      </c>
      <c r="F94" t="s">
        <v>73</v>
      </c>
      <c r="G94">
        <v>34731</v>
      </c>
      <c r="H94">
        <v>3</v>
      </c>
      <c r="I94">
        <v>4</v>
      </c>
      <c r="J94">
        <v>4</v>
      </c>
      <c r="K94" t="s">
        <v>17</v>
      </c>
      <c r="L94" t="s">
        <v>17</v>
      </c>
      <c r="M94" t="s">
        <v>16</v>
      </c>
    </row>
    <row r="95" spans="1:13" x14ac:dyDescent="0.2">
      <c r="A95">
        <v>2653</v>
      </c>
      <c r="B95" t="s">
        <v>231</v>
      </c>
      <c r="C95" t="s">
        <v>232</v>
      </c>
      <c r="D95">
        <v>188</v>
      </c>
      <c r="E95">
        <v>3</v>
      </c>
      <c r="F95" t="s">
        <v>127</v>
      </c>
      <c r="G95">
        <v>32536</v>
      </c>
      <c r="H95">
        <v>6</v>
      </c>
      <c r="I95">
        <v>5</v>
      </c>
      <c r="J95">
        <v>4</v>
      </c>
      <c r="K95" t="s">
        <v>16</v>
      </c>
      <c r="L95" t="s">
        <v>16</v>
      </c>
      <c r="M95" t="s">
        <v>16</v>
      </c>
    </row>
    <row r="96" spans="1:13" x14ac:dyDescent="0.2">
      <c r="A96">
        <v>5065</v>
      </c>
      <c r="B96" t="s">
        <v>233</v>
      </c>
      <c r="C96" t="s">
        <v>234</v>
      </c>
      <c r="D96">
        <v>226</v>
      </c>
      <c r="E96">
        <v>1</v>
      </c>
      <c r="F96" t="s">
        <v>48</v>
      </c>
      <c r="G96">
        <v>24461</v>
      </c>
      <c r="H96">
        <v>2</v>
      </c>
      <c r="I96">
        <v>5</v>
      </c>
      <c r="J96">
        <v>5</v>
      </c>
      <c r="K96" t="s">
        <v>16</v>
      </c>
      <c r="L96" t="s">
        <v>17</v>
      </c>
      <c r="M96" t="s">
        <v>16</v>
      </c>
    </row>
    <row r="97" spans="1:13" x14ac:dyDescent="0.2">
      <c r="A97">
        <v>3319</v>
      </c>
      <c r="B97" t="s">
        <v>235</v>
      </c>
      <c r="C97" t="s">
        <v>236</v>
      </c>
      <c r="D97">
        <v>207</v>
      </c>
      <c r="E97">
        <v>10</v>
      </c>
      <c r="F97" t="s">
        <v>189</v>
      </c>
      <c r="G97">
        <v>31732</v>
      </c>
      <c r="H97">
        <v>3</v>
      </c>
      <c r="I97">
        <v>3</v>
      </c>
      <c r="J97">
        <v>10</v>
      </c>
      <c r="K97" t="s">
        <v>16</v>
      </c>
      <c r="L97" t="s">
        <v>16</v>
      </c>
      <c r="M97" t="s">
        <v>17</v>
      </c>
    </row>
    <row r="98" spans="1:13" x14ac:dyDescent="0.2">
      <c r="A98">
        <v>3357</v>
      </c>
      <c r="B98" t="s">
        <v>237</v>
      </c>
      <c r="C98" t="s">
        <v>238</v>
      </c>
      <c r="D98">
        <v>267</v>
      </c>
      <c r="E98">
        <v>5</v>
      </c>
      <c r="F98" t="s">
        <v>109</v>
      </c>
      <c r="G98">
        <v>24428</v>
      </c>
      <c r="H98">
        <v>7</v>
      </c>
      <c r="I98">
        <v>4</v>
      </c>
      <c r="J98">
        <v>8</v>
      </c>
      <c r="K98" t="s">
        <v>16</v>
      </c>
      <c r="L98" t="s">
        <v>16</v>
      </c>
      <c r="M98" t="s">
        <v>16</v>
      </c>
    </row>
    <row r="99" spans="1:13" x14ac:dyDescent="0.2">
      <c r="A99">
        <v>4833</v>
      </c>
      <c r="B99" t="s">
        <v>239</v>
      </c>
      <c r="C99" t="s">
        <v>240</v>
      </c>
      <c r="D99">
        <v>97</v>
      </c>
      <c r="E99">
        <v>10</v>
      </c>
      <c r="F99" t="s">
        <v>34</v>
      </c>
      <c r="G99">
        <v>20362</v>
      </c>
      <c r="H99">
        <v>6</v>
      </c>
      <c r="I99">
        <v>1</v>
      </c>
      <c r="J99">
        <v>4</v>
      </c>
      <c r="K99" t="s">
        <v>17</v>
      </c>
      <c r="L99" t="s">
        <v>16</v>
      </c>
      <c r="M99" t="s">
        <v>16</v>
      </c>
    </row>
    <row r="100" spans="1:13" x14ac:dyDescent="0.2">
      <c r="A100">
        <v>2998</v>
      </c>
      <c r="B100" t="s">
        <v>241</v>
      </c>
      <c r="C100" t="s">
        <v>242</v>
      </c>
      <c r="D100">
        <v>189</v>
      </c>
      <c r="E100">
        <v>10</v>
      </c>
      <c r="F100" t="s">
        <v>194</v>
      </c>
      <c r="G100">
        <v>32702</v>
      </c>
      <c r="H100">
        <v>1</v>
      </c>
      <c r="I100">
        <v>3</v>
      </c>
      <c r="J100">
        <v>2</v>
      </c>
      <c r="K100" t="s">
        <v>16</v>
      </c>
      <c r="L100" t="s">
        <v>17</v>
      </c>
      <c r="M100" t="s">
        <v>16</v>
      </c>
    </row>
    <row r="101" spans="1:13" x14ac:dyDescent="0.2">
      <c r="A101">
        <v>3366</v>
      </c>
      <c r="B101" t="s">
        <v>243</v>
      </c>
      <c r="C101" t="s">
        <v>244</v>
      </c>
      <c r="D101">
        <v>179</v>
      </c>
      <c r="E101">
        <v>7</v>
      </c>
      <c r="F101" t="s">
        <v>127</v>
      </c>
      <c r="G101">
        <v>26496</v>
      </c>
      <c r="H101">
        <v>1</v>
      </c>
      <c r="I101">
        <v>5</v>
      </c>
      <c r="J101">
        <v>9</v>
      </c>
      <c r="K101" t="s">
        <v>17</v>
      </c>
      <c r="L101" t="s">
        <v>16</v>
      </c>
      <c r="M101" t="s">
        <v>16</v>
      </c>
    </row>
    <row r="102" spans="1:13" x14ac:dyDescent="0.2">
      <c r="A102">
        <v>2731</v>
      </c>
      <c r="B102" t="s">
        <v>245</v>
      </c>
      <c r="C102" t="s">
        <v>42</v>
      </c>
      <c r="D102">
        <v>222</v>
      </c>
      <c r="E102">
        <v>10</v>
      </c>
      <c r="F102" t="s">
        <v>246</v>
      </c>
      <c r="G102">
        <v>34649</v>
      </c>
      <c r="H102">
        <v>3</v>
      </c>
      <c r="I102">
        <v>3</v>
      </c>
      <c r="J102">
        <v>8</v>
      </c>
      <c r="K102" t="s">
        <v>16</v>
      </c>
      <c r="L102" t="s">
        <v>17</v>
      </c>
      <c r="M102" t="s">
        <v>16</v>
      </c>
    </row>
    <row r="103" spans="1:13" x14ac:dyDescent="0.2">
      <c r="A103">
        <v>4227</v>
      </c>
      <c r="B103" t="s">
        <v>247</v>
      </c>
      <c r="C103" t="s">
        <v>248</v>
      </c>
      <c r="D103">
        <v>129</v>
      </c>
      <c r="E103">
        <v>1</v>
      </c>
      <c r="F103" t="s">
        <v>164</v>
      </c>
      <c r="G103">
        <v>29003</v>
      </c>
      <c r="H103">
        <v>4</v>
      </c>
      <c r="I103">
        <v>2</v>
      </c>
      <c r="J103">
        <v>7</v>
      </c>
      <c r="K103" t="s">
        <v>16</v>
      </c>
      <c r="L103" t="s">
        <v>16</v>
      </c>
      <c r="M103" t="s">
        <v>16</v>
      </c>
    </row>
    <row r="104" spans="1:13" x14ac:dyDescent="0.2">
      <c r="A104">
        <v>3778</v>
      </c>
      <c r="B104" t="s">
        <v>249</v>
      </c>
      <c r="C104" t="s">
        <v>250</v>
      </c>
      <c r="D104">
        <v>35</v>
      </c>
      <c r="E104">
        <v>7</v>
      </c>
      <c r="F104" t="s">
        <v>137</v>
      </c>
      <c r="G104">
        <v>34650</v>
      </c>
      <c r="H104">
        <v>2</v>
      </c>
      <c r="I104">
        <v>2</v>
      </c>
      <c r="J104">
        <v>5</v>
      </c>
      <c r="K104" t="s">
        <v>17</v>
      </c>
      <c r="L104" t="s">
        <v>16</v>
      </c>
      <c r="M104" t="s">
        <v>17</v>
      </c>
    </row>
    <row r="105" spans="1:13" x14ac:dyDescent="0.2">
      <c r="A105">
        <v>3188</v>
      </c>
      <c r="B105" t="s">
        <v>251</v>
      </c>
      <c r="C105" t="s">
        <v>252</v>
      </c>
      <c r="D105">
        <v>89</v>
      </c>
      <c r="E105">
        <v>9</v>
      </c>
      <c r="F105" t="s">
        <v>73</v>
      </c>
      <c r="G105">
        <v>20919</v>
      </c>
      <c r="H105">
        <v>1</v>
      </c>
      <c r="I105">
        <v>3</v>
      </c>
      <c r="J105">
        <v>7</v>
      </c>
      <c r="K105" t="s">
        <v>16</v>
      </c>
      <c r="L105" t="s">
        <v>16</v>
      </c>
      <c r="M105" t="s">
        <v>17</v>
      </c>
    </row>
    <row r="106" spans="1:13" x14ac:dyDescent="0.2">
      <c r="A106">
        <v>2894</v>
      </c>
      <c r="B106" t="s">
        <v>253</v>
      </c>
      <c r="C106" t="s">
        <v>254</v>
      </c>
      <c r="D106">
        <v>32</v>
      </c>
      <c r="E106">
        <v>8</v>
      </c>
      <c r="F106" t="s">
        <v>164</v>
      </c>
      <c r="G106">
        <v>30823</v>
      </c>
      <c r="H106">
        <v>4</v>
      </c>
      <c r="I106">
        <v>5</v>
      </c>
      <c r="J106">
        <v>2</v>
      </c>
      <c r="K106" t="s">
        <v>17</v>
      </c>
      <c r="L106" t="s">
        <v>16</v>
      </c>
      <c r="M106" t="s">
        <v>17</v>
      </c>
    </row>
    <row r="107" spans="1:13" x14ac:dyDescent="0.2">
      <c r="A107">
        <v>2569</v>
      </c>
      <c r="B107" t="s">
        <v>255</v>
      </c>
      <c r="C107" t="s">
        <v>256</v>
      </c>
      <c r="D107">
        <v>49</v>
      </c>
      <c r="E107">
        <v>2</v>
      </c>
      <c r="F107" t="s">
        <v>82</v>
      </c>
      <c r="G107">
        <v>34932</v>
      </c>
      <c r="H107">
        <v>7</v>
      </c>
      <c r="I107">
        <v>5</v>
      </c>
      <c r="J107">
        <v>4</v>
      </c>
      <c r="K107" t="s">
        <v>17</v>
      </c>
      <c r="L107" t="s">
        <v>17</v>
      </c>
      <c r="M107" t="s">
        <v>16</v>
      </c>
    </row>
    <row r="108" spans="1:13" x14ac:dyDescent="0.2">
      <c r="A108">
        <v>2800</v>
      </c>
      <c r="B108" t="s">
        <v>257</v>
      </c>
      <c r="C108" t="s">
        <v>258</v>
      </c>
      <c r="D108">
        <v>38</v>
      </c>
      <c r="E108">
        <v>8</v>
      </c>
      <c r="F108" t="s">
        <v>67</v>
      </c>
      <c r="G108">
        <v>20817</v>
      </c>
      <c r="H108">
        <v>1</v>
      </c>
      <c r="I108">
        <v>5</v>
      </c>
      <c r="J108">
        <v>4</v>
      </c>
      <c r="K108" t="s">
        <v>16</v>
      </c>
      <c r="L108" t="s">
        <v>16</v>
      </c>
      <c r="M108" t="s">
        <v>16</v>
      </c>
    </row>
    <row r="109" spans="1:13" x14ac:dyDescent="0.2">
      <c r="A109">
        <v>2629</v>
      </c>
      <c r="B109" t="s">
        <v>259</v>
      </c>
      <c r="C109" t="s">
        <v>260</v>
      </c>
      <c r="D109">
        <v>156</v>
      </c>
      <c r="E109">
        <v>8</v>
      </c>
      <c r="F109" t="s">
        <v>20</v>
      </c>
      <c r="G109">
        <v>32061</v>
      </c>
      <c r="H109">
        <v>7</v>
      </c>
      <c r="I109">
        <v>4</v>
      </c>
      <c r="J109">
        <v>4</v>
      </c>
      <c r="K109" t="s">
        <v>17</v>
      </c>
      <c r="L109" t="s">
        <v>17</v>
      </c>
      <c r="M109" t="s">
        <v>16</v>
      </c>
    </row>
    <row r="110" spans="1:13" x14ac:dyDescent="0.2">
      <c r="A110">
        <v>3838</v>
      </c>
      <c r="B110" t="s">
        <v>261</v>
      </c>
      <c r="C110" t="s">
        <v>262</v>
      </c>
      <c r="D110">
        <v>158</v>
      </c>
      <c r="E110">
        <v>4</v>
      </c>
      <c r="F110" t="s">
        <v>130</v>
      </c>
      <c r="G110">
        <v>31897</v>
      </c>
      <c r="H110">
        <v>6</v>
      </c>
      <c r="I110">
        <v>2</v>
      </c>
      <c r="J110">
        <v>2</v>
      </c>
      <c r="K110" t="s">
        <v>16</v>
      </c>
      <c r="L110" t="s">
        <v>16</v>
      </c>
      <c r="M110" t="s">
        <v>16</v>
      </c>
    </row>
    <row r="111" spans="1:13" x14ac:dyDescent="0.2">
      <c r="A111">
        <v>5047</v>
      </c>
      <c r="B111" t="s">
        <v>263</v>
      </c>
      <c r="C111" t="s">
        <v>264</v>
      </c>
      <c r="D111">
        <v>162</v>
      </c>
      <c r="E111">
        <v>10</v>
      </c>
      <c r="F111" t="s">
        <v>58</v>
      </c>
      <c r="G111">
        <v>23261</v>
      </c>
      <c r="H111">
        <v>3</v>
      </c>
      <c r="I111">
        <v>3</v>
      </c>
      <c r="J111">
        <v>0</v>
      </c>
      <c r="K111" t="s">
        <v>16</v>
      </c>
      <c r="L111" t="s">
        <v>16</v>
      </c>
      <c r="M111" t="s">
        <v>16</v>
      </c>
    </row>
    <row r="112" spans="1:13" x14ac:dyDescent="0.2">
      <c r="A112">
        <v>4124</v>
      </c>
      <c r="B112" t="s">
        <v>265</v>
      </c>
      <c r="C112" t="s">
        <v>266</v>
      </c>
      <c r="D112">
        <v>142</v>
      </c>
      <c r="E112">
        <v>7</v>
      </c>
      <c r="F112" t="s">
        <v>246</v>
      </c>
      <c r="G112">
        <v>29518</v>
      </c>
      <c r="H112">
        <v>2</v>
      </c>
      <c r="I112">
        <v>3</v>
      </c>
      <c r="J112">
        <v>10</v>
      </c>
      <c r="K112" t="s">
        <v>17</v>
      </c>
      <c r="L112" t="s">
        <v>17</v>
      </c>
      <c r="M112" t="s">
        <v>17</v>
      </c>
    </row>
    <row r="113" spans="1:13" x14ac:dyDescent="0.2">
      <c r="A113">
        <v>2688</v>
      </c>
      <c r="B113" t="s">
        <v>267</v>
      </c>
      <c r="C113" t="s">
        <v>268</v>
      </c>
      <c r="D113">
        <v>227</v>
      </c>
      <c r="E113">
        <v>9</v>
      </c>
      <c r="F113" t="s">
        <v>23</v>
      </c>
      <c r="G113">
        <v>21827</v>
      </c>
      <c r="H113">
        <v>4</v>
      </c>
      <c r="I113">
        <v>2</v>
      </c>
      <c r="J113">
        <v>1</v>
      </c>
      <c r="K113" t="s">
        <v>16</v>
      </c>
      <c r="L113" t="s">
        <v>16</v>
      </c>
      <c r="M113" t="s">
        <v>16</v>
      </c>
    </row>
    <row r="114" spans="1:13" x14ac:dyDescent="0.2">
      <c r="A114">
        <v>3586</v>
      </c>
      <c r="B114" t="s">
        <v>269</v>
      </c>
      <c r="C114" t="s">
        <v>270</v>
      </c>
      <c r="D114">
        <v>91</v>
      </c>
      <c r="E114">
        <v>5</v>
      </c>
      <c r="F114" t="s">
        <v>137</v>
      </c>
      <c r="G114">
        <v>20676</v>
      </c>
      <c r="H114">
        <v>7</v>
      </c>
      <c r="I114">
        <v>5</v>
      </c>
      <c r="J114">
        <v>3</v>
      </c>
      <c r="K114" t="s">
        <v>16</v>
      </c>
      <c r="L114" t="s">
        <v>17</v>
      </c>
      <c r="M114" t="s">
        <v>17</v>
      </c>
    </row>
    <row r="115" spans="1:13" x14ac:dyDescent="0.2">
      <c r="A115">
        <v>4465</v>
      </c>
      <c r="B115" t="s">
        <v>271</v>
      </c>
      <c r="C115" t="s">
        <v>272</v>
      </c>
      <c r="D115">
        <v>99</v>
      </c>
      <c r="E115">
        <v>5</v>
      </c>
      <c r="F115" t="s">
        <v>58</v>
      </c>
      <c r="G115">
        <v>33717</v>
      </c>
      <c r="H115">
        <v>3</v>
      </c>
      <c r="I115">
        <v>3</v>
      </c>
      <c r="J115">
        <v>2</v>
      </c>
      <c r="K115" t="s">
        <v>16</v>
      </c>
      <c r="L115" t="s">
        <v>17</v>
      </c>
      <c r="M115" t="s">
        <v>16</v>
      </c>
    </row>
    <row r="116" spans="1:13" x14ac:dyDescent="0.2">
      <c r="A116">
        <v>3956</v>
      </c>
      <c r="B116" t="s">
        <v>273</v>
      </c>
      <c r="C116" t="s">
        <v>274</v>
      </c>
      <c r="D116">
        <v>25</v>
      </c>
      <c r="E116">
        <v>4</v>
      </c>
      <c r="F116" t="s">
        <v>164</v>
      </c>
      <c r="G116">
        <v>20738</v>
      </c>
      <c r="H116">
        <v>2</v>
      </c>
      <c r="I116">
        <v>2</v>
      </c>
      <c r="J116">
        <v>6</v>
      </c>
      <c r="K116" t="s">
        <v>16</v>
      </c>
      <c r="L116" t="s">
        <v>16</v>
      </c>
      <c r="M116" t="s">
        <v>16</v>
      </c>
    </row>
    <row r="117" spans="1:13" x14ac:dyDescent="0.2">
      <c r="A117">
        <v>3233</v>
      </c>
      <c r="B117" t="s">
        <v>275</v>
      </c>
      <c r="C117" t="s">
        <v>276</v>
      </c>
      <c r="D117">
        <v>250</v>
      </c>
      <c r="E117">
        <v>5</v>
      </c>
      <c r="F117" t="s">
        <v>82</v>
      </c>
      <c r="G117">
        <v>20875</v>
      </c>
      <c r="H117">
        <v>2</v>
      </c>
      <c r="I117">
        <v>5</v>
      </c>
      <c r="J117">
        <v>7</v>
      </c>
      <c r="K117" t="s">
        <v>16</v>
      </c>
      <c r="L117" t="s">
        <v>17</v>
      </c>
      <c r="M117" t="s">
        <v>17</v>
      </c>
    </row>
    <row r="118" spans="1:13" x14ac:dyDescent="0.2">
      <c r="A118">
        <v>2911</v>
      </c>
      <c r="B118" t="s">
        <v>277</v>
      </c>
      <c r="C118" t="s">
        <v>278</v>
      </c>
      <c r="D118">
        <v>24</v>
      </c>
      <c r="E118">
        <v>9</v>
      </c>
      <c r="F118" t="s">
        <v>189</v>
      </c>
      <c r="G118">
        <v>23356</v>
      </c>
      <c r="H118">
        <v>5</v>
      </c>
      <c r="I118">
        <v>1</v>
      </c>
      <c r="J118">
        <v>0</v>
      </c>
      <c r="K118" t="s">
        <v>16</v>
      </c>
      <c r="L118" t="s">
        <v>16</v>
      </c>
      <c r="M118" t="s">
        <v>16</v>
      </c>
    </row>
    <row r="119" spans="1:13" x14ac:dyDescent="0.2">
      <c r="A119">
        <v>4307</v>
      </c>
      <c r="B119" t="s">
        <v>279</v>
      </c>
      <c r="C119" t="s">
        <v>280</v>
      </c>
      <c r="D119">
        <v>229</v>
      </c>
      <c r="E119">
        <v>8</v>
      </c>
      <c r="F119" t="s">
        <v>184</v>
      </c>
      <c r="G119">
        <v>34694</v>
      </c>
      <c r="H119">
        <v>4</v>
      </c>
      <c r="I119">
        <v>5</v>
      </c>
      <c r="J119">
        <v>2</v>
      </c>
      <c r="K119" t="s">
        <v>17</v>
      </c>
      <c r="L119" t="s">
        <v>16</v>
      </c>
      <c r="M119" t="s">
        <v>16</v>
      </c>
    </row>
    <row r="120" spans="1:13" x14ac:dyDescent="0.2">
      <c r="A120">
        <v>3736</v>
      </c>
      <c r="B120" t="s">
        <v>281</v>
      </c>
      <c r="C120" t="s">
        <v>282</v>
      </c>
      <c r="D120">
        <v>30</v>
      </c>
      <c r="E120">
        <v>4</v>
      </c>
      <c r="F120" t="s">
        <v>34</v>
      </c>
      <c r="G120">
        <v>33375</v>
      </c>
      <c r="H120">
        <v>3</v>
      </c>
      <c r="I120">
        <v>1</v>
      </c>
      <c r="J120">
        <v>1</v>
      </c>
      <c r="K120" t="s">
        <v>16</v>
      </c>
      <c r="L120" t="s">
        <v>17</v>
      </c>
      <c r="M120" t="s">
        <v>16</v>
      </c>
    </row>
    <row r="121" spans="1:13" x14ac:dyDescent="0.2">
      <c r="A121">
        <v>4135</v>
      </c>
      <c r="B121" t="s">
        <v>283</v>
      </c>
      <c r="C121" t="s">
        <v>284</v>
      </c>
      <c r="D121">
        <v>187</v>
      </c>
      <c r="E121">
        <v>4</v>
      </c>
      <c r="F121" t="s">
        <v>130</v>
      </c>
      <c r="G121">
        <v>32902</v>
      </c>
      <c r="H121">
        <v>4</v>
      </c>
      <c r="I121">
        <v>4</v>
      </c>
      <c r="J121">
        <v>8</v>
      </c>
      <c r="K121" t="s">
        <v>16</v>
      </c>
      <c r="L121" t="s">
        <v>16</v>
      </c>
      <c r="M121" t="s">
        <v>17</v>
      </c>
    </row>
    <row r="122" spans="1:13" x14ac:dyDescent="0.2">
      <c r="A122">
        <v>3275</v>
      </c>
      <c r="B122" t="s">
        <v>285</v>
      </c>
      <c r="C122" t="s">
        <v>286</v>
      </c>
      <c r="D122">
        <v>276</v>
      </c>
      <c r="E122">
        <v>10</v>
      </c>
      <c r="F122" t="s">
        <v>40</v>
      </c>
      <c r="G122">
        <v>20641</v>
      </c>
      <c r="H122">
        <v>6</v>
      </c>
      <c r="I122">
        <v>5</v>
      </c>
      <c r="J122">
        <v>4</v>
      </c>
      <c r="K122" t="s">
        <v>16</v>
      </c>
      <c r="L122" t="s">
        <v>16</v>
      </c>
      <c r="M122" t="s">
        <v>17</v>
      </c>
    </row>
    <row r="123" spans="1:13" x14ac:dyDescent="0.2">
      <c r="A123">
        <v>4357</v>
      </c>
      <c r="B123" t="s">
        <v>287</v>
      </c>
      <c r="C123" t="s">
        <v>288</v>
      </c>
      <c r="D123">
        <v>156</v>
      </c>
      <c r="E123">
        <v>1</v>
      </c>
      <c r="F123" t="s">
        <v>67</v>
      </c>
      <c r="G123">
        <v>26240</v>
      </c>
      <c r="H123">
        <v>5</v>
      </c>
      <c r="I123">
        <v>4</v>
      </c>
      <c r="J123">
        <v>2</v>
      </c>
      <c r="K123" t="s">
        <v>16</v>
      </c>
      <c r="L123" t="s">
        <v>16</v>
      </c>
      <c r="M123" t="s">
        <v>16</v>
      </c>
    </row>
    <row r="124" spans="1:13" x14ac:dyDescent="0.2">
      <c r="A124">
        <v>3294</v>
      </c>
      <c r="B124" t="s">
        <v>289</v>
      </c>
      <c r="C124" t="s">
        <v>290</v>
      </c>
      <c r="D124">
        <v>158</v>
      </c>
      <c r="E124">
        <v>6</v>
      </c>
      <c r="F124" t="s">
        <v>291</v>
      </c>
      <c r="G124">
        <v>27908</v>
      </c>
      <c r="H124">
        <v>4</v>
      </c>
      <c r="I124">
        <v>5</v>
      </c>
      <c r="J124">
        <v>5</v>
      </c>
      <c r="K124" t="s">
        <v>16</v>
      </c>
      <c r="L124" t="s">
        <v>16</v>
      </c>
      <c r="M124" t="s">
        <v>16</v>
      </c>
    </row>
    <row r="125" spans="1:13" x14ac:dyDescent="0.2">
      <c r="A125">
        <v>4754</v>
      </c>
      <c r="B125" t="s">
        <v>292</v>
      </c>
      <c r="C125" t="s">
        <v>293</v>
      </c>
      <c r="D125">
        <v>161</v>
      </c>
      <c r="E125">
        <v>2</v>
      </c>
      <c r="F125" t="s">
        <v>40</v>
      </c>
      <c r="G125">
        <v>22644</v>
      </c>
      <c r="H125">
        <v>4</v>
      </c>
      <c r="I125">
        <v>2</v>
      </c>
      <c r="J125">
        <v>10</v>
      </c>
      <c r="K125" t="s">
        <v>16</v>
      </c>
      <c r="L125" t="s">
        <v>16</v>
      </c>
      <c r="M125" t="s">
        <v>16</v>
      </c>
    </row>
    <row r="126" spans="1:13" x14ac:dyDescent="0.2">
      <c r="A126">
        <v>3654</v>
      </c>
      <c r="B126" t="s">
        <v>294</v>
      </c>
      <c r="C126" t="s">
        <v>295</v>
      </c>
      <c r="D126">
        <v>29</v>
      </c>
      <c r="E126">
        <v>10</v>
      </c>
      <c r="F126" t="s">
        <v>94</v>
      </c>
      <c r="G126">
        <v>33166</v>
      </c>
      <c r="H126">
        <v>4</v>
      </c>
      <c r="I126">
        <v>4</v>
      </c>
      <c r="J126">
        <v>6</v>
      </c>
      <c r="K126" t="s">
        <v>17</v>
      </c>
      <c r="L126" t="s">
        <v>16</v>
      </c>
      <c r="M126" t="s">
        <v>16</v>
      </c>
    </row>
    <row r="127" spans="1:13" x14ac:dyDescent="0.2">
      <c r="A127">
        <v>3953</v>
      </c>
      <c r="B127" t="s">
        <v>296</v>
      </c>
      <c r="C127" t="s">
        <v>297</v>
      </c>
      <c r="D127">
        <v>169</v>
      </c>
      <c r="E127">
        <v>1</v>
      </c>
      <c r="F127" t="s">
        <v>20</v>
      </c>
      <c r="G127">
        <v>28921</v>
      </c>
      <c r="H127">
        <v>6</v>
      </c>
      <c r="I127">
        <v>1</v>
      </c>
      <c r="J127">
        <v>5</v>
      </c>
      <c r="K127" t="s">
        <v>17</v>
      </c>
      <c r="L127" t="s">
        <v>17</v>
      </c>
      <c r="M127" t="s">
        <v>17</v>
      </c>
    </row>
    <row r="128" spans="1:13" x14ac:dyDescent="0.2">
      <c r="A128">
        <v>3379</v>
      </c>
      <c r="B128" t="s">
        <v>298</v>
      </c>
      <c r="C128" t="s">
        <v>299</v>
      </c>
      <c r="D128">
        <v>278</v>
      </c>
      <c r="E128">
        <v>1</v>
      </c>
      <c r="F128" t="s">
        <v>73</v>
      </c>
      <c r="G128">
        <v>33211</v>
      </c>
      <c r="H128">
        <v>4</v>
      </c>
      <c r="I128">
        <v>3</v>
      </c>
      <c r="J128">
        <v>4</v>
      </c>
      <c r="K128" t="s">
        <v>17</v>
      </c>
      <c r="L128" t="s">
        <v>16</v>
      </c>
      <c r="M128" t="s">
        <v>17</v>
      </c>
    </row>
    <row r="129" spans="1:13" x14ac:dyDescent="0.2">
      <c r="A129">
        <v>3624</v>
      </c>
      <c r="B129" t="s">
        <v>300</v>
      </c>
      <c r="C129" t="s">
        <v>301</v>
      </c>
      <c r="D129">
        <v>275</v>
      </c>
      <c r="E129">
        <v>4</v>
      </c>
      <c r="F129" t="s">
        <v>37</v>
      </c>
      <c r="G129">
        <v>29245</v>
      </c>
      <c r="H129">
        <v>5</v>
      </c>
      <c r="I129">
        <v>2</v>
      </c>
      <c r="J129">
        <v>6</v>
      </c>
      <c r="K129" t="s">
        <v>16</v>
      </c>
      <c r="L129" t="s">
        <v>16</v>
      </c>
      <c r="M129" t="s">
        <v>17</v>
      </c>
    </row>
    <row r="130" spans="1:13" x14ac:dyDescent="0.2">
      <c r="A130">
        <v>2672</v>
      </c>
      <c r="B130" t="s">
        <v>302</v>
      </c>
      <c r="C130" t="s">
        <v>303</v>
      </c>
      <c r="D130">
        <v>165</v>
      </c>
      <c r="E130">
        <v>3</v>
      </c>
      <c r="F130" t="s">
        <v>23</v>
      </c>
      <c r="G130">
        <v>20917</v>
      </c>
      <c r="H130">
        <v>6</v>
      </c>
      <c r="I130">
        <v>2</v>
      </c>
      <c r="J130">
        <v>2</v>
      </c>
      <c r="K130" t="s">
        <v>16</v>
      </c>
      <c r="L130" t="s">
        <v>16</v>
      </c>
      <c r="M130" t="s">
        <v>17</v>
      </c>
    </row>
    <row r="131" spans="1:13" x14ac:dyDescent="0.2">
      <c r="A131">
        <v>4575</v>
      </c>
      <c r="B131" t="s">
        <v>304</v>
      </c>
      <c r="C131" t="s">
        <v>305</v>
      </c>
      <c r="D131">
        <v>183</v>
      </c>
      <c r="E131">
        <v>4</v>
      </c>
      <c r="F131" t="s">
        <v>101</v>
      </c>
      <c r="G131">
        <v>34770</v>
      </c>
      <c r="H131">
        <v>5</v>
      </c>
      <c r="I131">
        <v>1</v>
      </c>
      <c r="J131">
        <v>2</v>
      </c>
      <c r="K131" t="s">
        <v>16</v>
      </c>
      <c r="L131" t="s">
        <v>16</v>
      </c>
      <c r="M131" t="s">
        <v>17</v>
      </c>
    </row>
    <row r="132" spans="1:13" x14ac:dyDescent="0.2">
      <c r="A132">
        <v>4070</v>
      </c>
      <c r="B132" t="s">
        <v>306</v>
      </c>
      <c r="C132" t="s">
        <v>307</v>
      </c>
      <c r="D132">
        <v>278</v>
      </c>
      <c r="E132">
        <v>3</v>
      </c>
      <c r="F132" t="s">
        <v>246</v>
      </c>
      <c r="G132">
        <v>27353</v>
      </c>
      <c r="H132">
        <v>1</v>
      </c>
      <c r="I132">
        <v>4</v>
      </c>
      <c r="J132">
        <v>1</v>
      </c>
      <c r="K132" t="s">
        <v>16</v>
      </c>
      <c r="L132" t="s">
        <v>16</v>
      </c>
      <c r="M132" t="s">
        <v>17</v>
      </c>
    </row>
    <row r="133" spans="1:13" x14ac:dyDescent="0.2">
      <c r="A133">
        <v>3273</v>
      </c>
      <c r="B133" t="s">
        <v>308</v>
      </c>
      <c r="C133" t="s">
        <v>309</v>
      </c>
      <c r="D133">
        <v>61</v>
      </c>
      <c r="E133">
        <v>9</v>
      </c>
      <c r="F133" t="s">
        <v>45</v>
      </c>
      <c r="G133">
        <v>26225</v>
      </c>
      <c r="H133">
        <v>5</v>
      </c>
      <c r="I133">
        <v>5</v>
      </c>
      <c r="J133">
        <v>3</v>
      </c>
      <c r="K133" t="s">
        <v>16</v>
      </c>
      <c r="L133" t="s">
        <v>16</v>
      </c>
      <c r="M133" t="s">
        <v>17</v>
      </c>
    </row>
    <row r="134" spans="1:13" x14ac:dyDescent="0.2">
      <c r="A134">
        <v>3368</v>
      </c>
      <c r="B134" t="s">
        <v>310</v>
      </c>
      <c r="C134" t="s">
        <v>311</v>
      </c>
      <c r="D134">
        <v>247</v>
      </c>
      <c r="E134">
        <v>10</v>
      </c>
      <c r="F134" t="s">
        <v>109</v>
      </c>
      <c r="G134">
        <v>30839</v>
      </c>
      <c r="H134">
        <v>2</v>
      </c>
      <c r="I134">
        <v>4</v>
      </c>
      <c r="J134">
        <v>9</v>
      </c>
      <c r="K134" t="s">
        <v>17</v>
      </c>
      <c r="L134" t="s">
        <v>17</v>
      </c>
      <c r="M134" t="s">
        <v>16</v>
      </c>
    </row>
    <row r="135" spans="1:13" x14ac:dyDescent="0.2">
      <c r="A135">
        <v>5134</v>
      </c>
      <c r="B135" t="s">
        <v>312</v>
      </c>
      <c r="C135" t="s">
        <v>313</v>
      </c>
      <c r="D135">
        <v>57</v>
      </c>
      <c r="E135">
        <v>3</v>
      </c>
      <c r="F135" t="s">
        <v>26</v>
      </c>
      <c r="G135">
        <v>28436</v>
      </c>
      <c r="H135">
        <v>3</v>
      </c>
      <c r="I135">
        <v>4</v>
      </c>
      <c r="J135">
        <v>0</v>
      </c>
      <c r="K135" t="s">
        <v>16</v>
      </c>
      <c r="L135" t="s">
        <v>17</v>
      </c>
      <c r="M135" t="s">
        <v>17</v>
      </c>
    </row>
    <row r="136" spans="1:13" x14ac:dyDescent="0.2">
      <c r="A136">
        <v>3827</v>
      </c>
      <c r="B136" t="s">
        <v>314</v>
      </c>
      <c r="C136" t="s">
        <v>315</v>
      </c>
      <c r="D136">
        <v>54</v>
      </c>
      <c r="E136">
        <v>1</v>
      </c>
      <c r="F136" t="s">
        <v>73</v>
      </c>
      <c r="G136">
        <v>22432</v>
      </c>
      <c r="H136">
        <v>5</v>
      </c>
      <c r="I136">
        <v>4</v>
      </c>
      <c r="J136">
        <v>3</v>
      </c>
      <c r="K136" t="s">
        <v>17</v>
      </c>
      <c r="L136" t="s">
        <v>17</v>
      </c>
      <c r="M136" t="s">
        <v>17</v>
      </c>
    </row>
    <row r="137" spans="1:13" x14ac:dyDescent="0.2">
      <c r="A137">
        <v>4593</v>
      </c>
      <c r="B137" t="s">
        <v>316</v>
      </c>
      <c r="C137" t="s">
        <v>317</v>
      </c>
      <c r="D137">
        <v>246</v>
      </c>
      <c r="E137">
        <v>3</v>
      </c>
      <c r="F137" t="s">
        <v>94</v>
      </c>
      <c r="G137">
        <v>20943</v>
      </c>
      <c r="H137">
        <v>7</v>
      </c>
      <c r="I137">
        <v>2</v>
      </c>
      <c r="J137">
        <v>4</v>
      </c>
      <c r="K137" t="s">
        <v>16</v>
      </c>
      <c r="L137" t="s">
        <v>16</v>
      </c>
      <c r="M137" t="s">
        <v>16</v>
      </c>
    </row>
    <row r="138" spans="1:13" x14ac:dyDescent="0.2">
      <c r="A138">
        <v>5548</v>
      </c>
      <c r="B138" t="s">
        <v>318</v>
      </c>
      <c r="C138" t="s">
        <v>319</v>
      </c>
      <c r="D138">
        <v>139</v>
      </c>
      <c r="E138">
        <v>4</v>
      </c>
      <c r="F138" t="s">
        <v>82</v>
      </c>
      <c r="G138">
        <v>24456</v>
      </c>
      <c r="H138">
        <v>1</v>
      </c>
      <c r="I138">
        <v>4</v>
      </c>
      <c r="J138">
        <v>0</v>
      </c>
      <c r="K138" t="s">
        <v>16</v>
      </c>
      <c r="L138" t="s">
        <v>16</v>
      </c>
      <c r="M138" t="s">
        <v>16</v>
      </c>
    </row>
    <row r="139" spans="1:13" x14ac:dyDescent="0.2">
      <c r="A139">
        <v>3128</v>
      </c>
      <c r="B139" t="s">
        <v>320</v>
      </c>
      <c r="C139" t="s">
        <v>321</v>
      </c>
      <c r="D139">
        <v>245</v>
      </c>
      <c r="E139">
        <v>6</v>
      </c>
      <c r="F139" t="s">
        <v>29</v>
      </c>
      <c r="G139">
        <v>32935</v>
      </c>
      <c r="H139">
        <v>1</v>
      </c>
      <c r="I139">
        <v>5</v>
      </c>
      <c r="J139">
        <v>9</v>
      </c>
      <c r="K139" t="s">
        <v>17</v>
      </c>
      <c r="L139" t="s">
        <v>16</v>
      </c>
      <c r="M139" t="s">
        <v>17</v>
      </c>
    </row>
    <row r="140" spans="1:13" x14ac:dyDescent="0.2">
      <c r="A140">
        <v>4918</v>
      </c>
      <c r="B140" t="s">
        <v>322</v>
      </c>
      <c r="C140" t="s">
        <v>323</v>
      </c>
      <c r="D140">
        <v>291</v>
      </c>
      <c r="E140">
        <v>2</v>
      </c>
      <c r="F140" t="s">
        <v>26</v>
      </c>
      <c r="G140">
        <v>20197</v>
      </c>
      <c r="H140">
        <v>4</v>
      </c>
      <c r="I140">
        <v>1</v>
      </c>
      <c r="J140">
        <v>3</v>
      </c>
      <c r="K140" t="s">
        <v>16</v>
      </c>
      <c r="L140" t="s">
        <v>16</v>
      </c>
      <c r="M140" t="s">
        <v>16</v>
      </c>
    </row>
    <row r="141" spans="1:13" x14ac:dyDescent="0.2">
      <c r="A141">
        <v>4453</v>
      </c>
      <c r="B141" t="s">
        <v>324</v>
      </c>
      <c r="C141" t="s">
        <v>325</v>
      </c>
      <c r="D141">
        <v>284</v>
      </c>
      <c r="E141">
        <v>5</v>
      </c>
      <c r="F141" t="s">
        <v>94</v>
      </c>
      <c r="G141">
        <v>34283</v>
      </c>
      <c r="H141">
        <v>3</v>
      </c>
      <c r="I141">
        <v>2</v>
      </c>
      <c r="J141">
        <v>5</v>
      </c>
      <c r="K141" t="s">
        <v>16</v>
      </c>
      <c r="L141" t="s">
        <v>16</v>
      </c>
      <c r="M141" t="s">
        <v>17</v>
      </c>
    </row>
    <row r="142" spans="1:13" x14ac:dyDescent="0.2">
      <c r="A142">
        <v>4769</v>
      </c>
      <c r="B142" t="s">
        <v>326</v>
      </c>
      <c r="C142" t="s">
        <v>327</v>
      </c>
      <c r="D142">
        <v>285</v>
      </c>
      <c r="E142">
        <v>5</v>
      </c>
      <c r="F142" t="s">
        <v>142</v>
      </c>
      <c r="G142">
        <v>21961</v>
      </c>
      <c r="H142">
        <v>7</v>
      </c>
      <c r="I142">
        <v>3</v>
      </c>
      <c r="J142">
        <v>1</v>
      </c>
      <c r="K142" t="s">
        <v>16</v>
      </c>
      <c r="L142" t="s">
        <v>17</v>
      </c>
      <c r="M142" t="s">
        <v>16</v>
      </c>
    </row>
    <row r="143" spans="1:13" x14ac:dyDescent="0.2">
      <c r="A143">
        <v>4375</v>
      </c>
      <c r="B143" t="s">
        <v>328</v>
      </c>
      <c r="C143" t="s">
        <v>329</v>
      </c>
      <c r="D143">
        <v>197</v>
      </c>
      <c r="E143">
        <v>6</v>
      </c>
      <c r="F143" t="s">
        <v>53</v>
      </c>
      <c r="G143">
        <v>24852</v>
      </c>
      <c r="H143">
        <v>7</v>
      </c>
      <c r="I143">
        <v>4</v>
      </c>
      <c r="J143">
        <v>9</v>
      </c>
      <c r="K143" t="s">
        <v>17</v>
      </c>
      <c r="L143" t="s">
        <v>16</v>
      </c>
      <c r="M143" t="s">
        <v>16</v>
      </c>
    </row>
    <row r="144" spans="1:13" x14ac:dyDescent="0.2">
      <c r="A144">
        <v>5241</v>
      </c>
      <c r="B144" t="s">
        <v>330</v>
      </c>
      <c r="C144" t="s">
        <v>331</v>
      </c>
      <c r="D144">
        <v>234</v>
      </c>
      <c r="E144">
        <v>6</v>
      </c>
      <c r="F144" t="s">
        <v>76</v>
      </c>
      <c r="G144">
        <v>20114</v>
      </c>
      <c r="H144">
        <v>5</v>
      </c>
      <c r="I144">
        <v>4</v>
      </c>
      <c r="J144">
        <v>5</v>
      </c>
      <c r="K144" t="s">
        <v>17</v>
      </c>
      <c r="L144" t="s">
        <v>17</v>
      </c>
      <c r="M144" t="s">
        <v>17</v>
      </c>
    </row>
    <row r="145" spans="1:13" x14ac:dyDescent="0.2">
      <c r="A145">
        <v>3445</v>
      </c>
      <c r="B145" t="s">
        <v>332</v>
      </c>
      <c r="C145" t="s">
        <v>333</v>
      </c>
      <c r="D145">
        <v>270</v>
      </c>
      <c r="E145">
        <v>10</v>
      </c>
      <c r="F145" t="s">
        <v>73</v>
      </c>
      <c r="G145">
        <v>27924</v>
      </c>
      <c r="H145">
        <v>3</v>
      </c>
      <c r="I145">
        <v>1</v>
      </c>
      <c r="J145">
        <v>10</v>
      </c>
      <c r="K145" t="s">
        <v>16</v>
      </c>
      <c r="L145" t="s">
        <v>16</v>
      </c>
      <c r="M145" t="s">
        <v>16</v>
      </c>
    </row>
    <row r="146" spans="1:13" x14ac:dyDescent="0.2">
      <c r="A146">
        <v>4862</v>
      </c>
      <c r="B146" t="s">
        <v>334</v>
      </c>
      <c r="C146" t="s">
        <v>335</v>
      </c>
      <c r="D146">
        <v>56</v>
      </c>
      <c r="E146">
        <v>2</v>
      </c>
      <c r="F146" t="s">
        <v>246</v>
      </c>
      <c r="G146">
        <v>33396</v>
      </c>
      <c r="H146">
        <v>7</v>
      </c>
      <c r="I146">
        <v>2</v>
      </c>
      <c r="J146">
        <v>5</v>
      </c>
      <c r="K146" t="s">
        <v>16</v>
      </c>
      <c r="L146" t="s">
        <v>16</v>
      </c>
      <c r="M146" t="s">
        <v>17</v>
      </c>
    </row>
    <row r="147" spans="1:13" x14ac:dyDescent="0.2">
      <c r="A147">
        <v>4024</v>
      </c>
      <c r="B147" t="s">
        <v>336</v>
      </c>
      <c r="C147" t="s">
        <v>337</v>
      </c>
      <c r="D147">
        <v>210</v>
      </c>
      <c r="E147">
        <v>5</v>
      </c>
      <c r="F147" t="s">
        <v>23</v>
      </c>
      <c r="G147">
        <v>22033</v>
      </c>
      <c r="H147">
        <v>5</v>
      </c>
      <c r="I147">
        <v>1</v>
      </c>
      <c r="J147">
        <v>0</v>
      </c>
      <c r="K147" t="s">
        <v>16</v>
      </c>
      <c r="L147" t="s">
        <v>17</v>
      </c>
      <c r="M147" t="s">
        <v>17</v>
      </c>
    </row>
    <row r="148" spans="1:13" x14ac:dyDescent="0.2">
      <c r="A148">
        <v>4039</v>
      </c>
      <c r="B148" t="s">
        <v>338</v>
      </c>
      <c r="C148" t="s">
        <v>339</v>
      </c>
      <c r="D148">
        <v>251</v>
      </c>
      <c r="E148">
        <v>8</v>
      </c>
      <c r="F148" t="s">
        <v>127</v>
      </c>
      <c r="G148">
        <v>28716</v>
      </c>
      <c r="H148">
        <v>5</v>
      </c>
      <c r="I148">
        <v>1</v>
      </c>
      <c r="J148">
        <v>4</v>
      </c>
      <c r="K148" t="s">
        <v>16</v>
      </c>
      <c r="L148" t="s">
        <v>16</v>
      </c>
      <c r="M148" t="s">
        <v>16</v>
      </c>
    </row>
    <row r="149" spans="1:13" x14ac:dyDescent="0.2">
      <c r="A149">
        <v>5017</v>
      </c>
      <c r="B149" t="s">
        <v>340</v>
      </c>
      <c r="C149" t="s">
        <v>341</v>
      </c>
      <c r="D149">
        <v>296</v>
      </c>
      <c r="E149">
        <v>9</v>
      </c>
      <c r="F149" t="s">
        <v>184</v>
      </c>
      <c r="G149">
        <v>21338</v>
      </c>
      <c r="H149">
        <v>1</v>
      </c>
      <c r="I149">
        <v>2</v>
      </c>
      <c r="J149">
        <v>0</v>
      </c>
      <c r="K149" t="s">
        <v>17</v>
      </c>
      <c r="L149" t="s">
        <v>16</v>
      </c>
      <c r="M149" t="s">
        <v>17</v>
      </c>
    </row>
    <row r="150" spans="1:13" x14ac:dyDescent="0.2">
      <c r="A150">
        <v>4388</v>
      </c>
      <c r="B150" t="s">
        <v>342</v>
      </c>
      <c r="C150" t="s">
        <v>343</v>
      </c>
      <c r="D150">
        <v>50</v>
      </c>
      <c r="E150">
        <v>8</v>
      </c>
      <c r="F150" t="s">
        <v>94</v>
      </c>
      <c r="G150">
        <v>25813</v>
      </c>
      <c r="H150">
        <v>3</v>
      </c>
      <c r="I150">
        <v>4</v>
      </c>
      <c r="J150">
        <v>7</v>
      </c>
      <c r="K150" t="s">
        <v>17</v>
      </c>
      <c r="L150" t="s">
        <v>16</v>
      </c>
      <c r="M150" t="s">
        <v>17</v>
      </c>
    </row>
    <row r="151" spans="1:13" x14ac:dyDescent="0.2">
      <c r="A151">
        <v>3092</v>
      </c>
      <c r="B151" t="s">
        <v>344</v>
      </c>
      <c r="C151" t="s">
        <v>345</v>
      </c>
      <c r="D151">
        <v>105</v>
      </c>
      <c r="E151">
        <v>4</v>
      </c>
      <c r="F151" t="s">
        <v>20</v>
      </c>
      <c r="G151">
        <v>34761</v>
      </c>
      <c r="H151">
        <v>1</v>
      </c>
      <c r="I151">
        <v>1</v>
      </c>
      <c r="J151">
        <v>7</v>
      </c>
      <c r="K151" t="s">
        <v>17</v>
      </c>
      <c r="L151" t="s">
        <v>17</v>
      </c>
      <c r="M151" t="s">
        <v>16</v>
      </c>
    </row>
    <row r="152" spans="1:13" x14ac:dyDescent="0.2">
      <c r="A152">
        <v>4770</v>
      </c>
      <c r="B152" t="s">
        <v>346</v>
      </c>
      <c r="C152" t="s">
        <v>347</v>
      </c>
      <c r="D152">
        <v>42</v>
      </c>
      <c r="E152">
        <v>10</v>
      </c>
      <c r="F152" t="s">
        <v>63</v>
      </c>
      <c r="G152">
        <v>26330</v>
      </c>
      <c r="H152">
        <v>1</v>
      </c>
      <c r="I152">
        <v>2</v>
      </c>
      <c r="J152">
        <v>4</v>
      </c>
      <c r="K152" t="s">
        <v>17</v>
      </c>
      <c r="L152" t="s">
        <v>17</v>
      </c>
      <c r="M152" t="s">
        <v>16</v>
      </c>
    </row>
    <row r="153" spans="1:13" x14ac:dyDescent="0.2">
      <c r="A153">
        <v>5395</v>
      </c>
      <c r="B153" t="s">
        <v>348</v>
      </c>
      <c r="C153" t="s">
        <v>349</v>
      </c>
      <c r="D153">
        <v>300</v>
      </c>
      <c r="E153">
        <v>1</v>
      </c>
      <c r="F153" t="s">
        <v>246</v>
      </c>
      <c r="G153">
        <v>30234</v>
      </c>
      <c r="H153">
        <v>4</v>
      </c>
      <c r="I153">
        <v>4</v>
      </c>
      <c r="J153">
        <v>7</v>
      </c>
      <c r="K153" t="s">
        <v>17</v>
      </c>
      <c r="L153" t="s">
        <v>16</v>
      </c>
      <c r="M153" t="s">
        <v>17</v>
      </c>
    </row>
    <row r="154" spans="1:13" x14ac:dyDescent="0.2">
      <c r="A154">
        <v>4665</v>
      </c>
      <c r="B154" t="s">
        <v>350</v>
      </c>
      <c r="C154" t="s">
        <v>351</v>
      </c>
      <c r="D154">
        <v>133</v>
      </c>
      <c r="E154">
        <v>8</v>
      </c>
      <c r="F154" t="s">
        <v>15</v>
      </c>
      <c r="G154">
        <v>33809</v>
      </c>
      <c r="H154">
        <v>3</v>
      </c>
      <c r="I154">
        <v>3</v>
      </c>
      <c r="J154">
        <v>9</v>
      </c>
      <c r="K154" t="s">
        <v>17</v>
      </c>
      <c r="L154" t="s">
        <v>16</v>
      </c>
      <c r="M154" t="s">
        <v>16</v>
      </c>
    </row>
    <row r="155" spans="1:13" x14ac:dyDescent="0.2">
      <c r="A155">
        <v>4901</v>
      </c>
      <c r="B155" t="s">
        <v>352</v>
      </c>
      <c r="C155" t="s">
        <v>353</v>
      </c>
      <c r="D155">
        <v>230</v>
      </c>
      <c r="E155">
        <v>10</v>
      </c>
      <c r="F155" t="s">
        <v>91</v>
      </c>
      <c r="G155">
        <v>34219</v>
      </c>
      <c r="H155">
        <v>3</v>
      </c>
      <c r="I155">
        <v>1</v>
      </c>
      <c r="J155">
        <v>0</v>
      </c>
      <c r="K155" t="s">
        <v>17</v>
      </c>
      <c r="L155" t="s">
        <v>16</v>
      </c>
      <c r="M155" t="s">
        <v>16</v>
      </c>
    </row>
    <row r="156" spans="1:13" x14ac:dyDescent="0.2">
      <c r="A156">
        <v>4346</v>
      </c>
      <c r="B156" t="s">
        <v>354</v>
      </c>
      <c r="C156" t="s">
        <v>355</v>
      </c>
      <c r="D156">
        <v>195</v>
      </c>
      <c r="E156">
        <v>4</v>
      </c>
      <c r="F156" t="s">
        <v>23</v>
      </c>
      <c r="G156">
        <v>28142</v>
      </c>
      <c r="H156">
        <v>2</v>
      </c>
      <c r="I156">
        <v>1</v>
      </c>
      <c r="J156">
        <v>4</v>
      </c>
      <c r="K156" t="s">
        <v>16</v>
      </c>
      <c r="L156" t="s">
        <v>16</v>
      </c>
      <c r="M156" t="s">
        <v>16</v>
      </c>
    </row>
    <row r="157" spans="1:13" x14ac:dyDescent="0.2">
      <c r="A157">
        <v>4840</v>
      </c>
      <c r="B157" t="s">
        <v>356</v>
      </c>
      <c r="C157" t="s">
        <v>357</v>
      </c>
      <c r="D157">
        <v>51</v>
      </c>
      <c r="E157">
        <v>4</v>
      </c>
      <c r="F157" t="s">
        <v>101</v>
      </c>
      <c r="G157">
        <v>21950</v>
      </c>
      <c r="H157">
        <v>1</v>
      </c>
      <c r="I157">
        <v>4</v>
      </c>
      <c r="J157">
        <v>8</v>
      </c>
      <c r="K157" t="s">
        <v>17</v>
      </c>
      <c r="L157" t="s">
        <v>17</v>
      </c>
      <c r="M157" t="s">
        <v>17</v>
      </c>
    </row>
    <row r="158" spans="1:13" x14ac:dyDescent="0.2">
      <c r="A158">
        <v>2565</v>
      </c>
      <c r="B158" t="s">
        <v>358</v>
      </c>
      <c r="C158" t="s">
        <v>359</v>
      </c>
      <c r="D158">
        <v>116</v>
      </c>
      <c r="E158">
        <v>7</v>
      </c>
      <c r="F158" t="s">
        <v>73</v>
      </c>
      <c r="G158">
        <v>22246</v>
      </c>
      <c r="H158">
        <v>5</v>
      </c>
      <c r="I158">
        <v>2</v>
      </c>
      <c r="J158">
        <v>6</v>
      </c>
      <c r="K158" t="s">
        <v>17</v>
      </c>
      <c r="L158" t="s">
        <v>17</v>
      </c>
      <c r="M158" t="s">
        <v>16</v>
      </c>
    </row>
    <row r="159" spans="1:13" x14ac:dyDescent="0.2">
      <c r="A159">
        <v>3789</v>
      </c>
      <c r="B159" t="s">
        <v>360</v>
      </c>
      <c r="C159" t="s">
        <v>361</v>
      </c>
      <c r="D159">
        <v>258</v>
      </c>
      <c r="E159">
        <v>10</v>
      </c>
      <c r="F159" t="s">
        <v>142</v>
      </c>
      <c r="G159">
        <v>25639</v>
      </c>
      <c r="H159">
        <v>4</v>
      </c>
      <c r="I159">
        <v>2</v>
      </c>
      <c r="J159">
        <v>8</v>
      </c>
      <c r="K159" t="s">
        <v>16</v>
      </c>
      <c r="L159" t="s">
        <v>17</v>
      </c>
      <c r="M159" t="s">
        <v>16</v>
      </c>
    </row>
    <row r="160" spans="1:13" x14ac:dyDescent="0.2">
      <c r="A160">
        <v>2445</v>
      </c>
      <c r="B160" t="s">
        <v>362</v>
      </c>
      <c r="C160" t="s">
        <v>363</v>
      </c>
      <c r="D160">
        <v>169</v>
      </c>
      <c r="E160">
        <v>2</v>
      </c>
      <c r="F160" t="s">
        <v>246</v>
      </c>
      <c r="G160">
        <v>31301</v>
      </c>
      <c r="H160">
        <v>4</v>
      </c>
      <c r="I160">
        <v>2</v>
      </c>
      <c r="J160">
        <v>3</v>
      </c>
      <c r="K160" t="s">
        <v>16</v>
      </c>
      <c r="L160" t="s">
        <v>17</v>
      </c>
      <c r="M160" t="s">
        <v>17</v>
      </c>
    </row>
    <row r="161" spans="1:13" x14ac:dyDescent="0.2">
      <c r="A161">
        <v>5272</v>
      </c>
      <c r="B161" t="s">
        <v>364</v>
      </c>
      <c r="C161" t="s">
        <v>365</v>
      </c>
      <c r="D161">
        <v>296</v>
      </c>
      <c r="E161">
        <v>1</v>
      </c>
      <c r="F161" t="s">
        <v>34</v>
      </c>
      <c r="G161">
        <v>30854</v>
      </c>
      <c r="H161">
        <v>6</v>
      </c>
      <c r="I161">
        <v>1</v>
      </c>
      <c r="J161">
        <v>9</v>
      </c>
      <c r="K161" t="s">
        <v>17</v>
      </c>
      <c r="L161" t="s">
        <v>17</v>
      </c>
      <c r="M161" t="s">
        <v>16</v>
      </c>
    </row>
    <row r="162" spans="1:13" x14ac:dyDescent="0.2">
      <c r="A162">
        <v>2560</v>
      </c>
      <c r="B162" t="s">
        <v>366</v>
      </c>
      <c r="C162" t="s">
        <v>367</v>
      </c>
      <c r="D162">
        <v>125</v>
      </c>
      <c r="E162">
        <v>7</v>
      </c>
      <c r="F162" t="s">
        <v>45</v>
      </c>
      <c r="G162">
        <v>30929</v>
      </c>
      <c r="H162">
        <v>2</v>
      </c>
      <c r="I162">
        <v>5</v>
      </c>
      <c r="J162">
        <v>7</v>
      </c>
      <c r="K162" t="s">
        <v>16</v>
      </c>
      <c r="L162" t="s">
        <v>17</v>
      </c>
      <c r="M162" t="s">
        <v>17</v>
      </c>
    </row>
    <row r="163" spans="1:13" x14ac:dyDescent="0.2">
      <c r="A163">
        <v>4373</v>
      </c>
      <c r="B163" t="s">
        <v>368</v>
      </c>
      <c r="C163" t="s">
        <v>369</v>
      </c>
      <c r="D163">
        <v>125</v>
      </c>
      <c r="E163">
        <v>2</v>
      </c>
      <c r="F163" t="s">
        <v>130</v>
      </c>
      <c r="G163">
        <v>20623</v>
      </c>
      <c r="H163">
        <v>6</v>
      </c>
      <c r="I163">
        <v>1</v>
      </c>
      <c r="J163">
        <v>2</v>
      </c>
      <c r="K163" t="s">
        <v>17</v>
      </c>
      <c r="L163" t="s">
        <v>17</v>
      </c>
      <c r="M163" t="s">
        <v>17</v>
      </c>
    </row>
    <row r="164" spans="1:13" x14ac:dyDescent="0.2">
      <c r="A164">
        <v>4847</v>
      </c>
      <c r="B164" t="s">
        <v>370</v>
      </c>
      <c r="C164" t="s">
        <v>371</v>
      </c>
      <c r="D164">
        <v>118</v>
      </c>
      <c r="E164">
        <v>1</v>
      </c>
      <c r="F164" t="s">
        <v>23</v>
      </c>
      <c r="G164">
        <v>26599</v>
      </c>
      <c r="H164">
        <v>2</v>
      </c>
      <c r="I164">
        <v>1</v>
      </c>
      <c r="J164">
        <v>10</v>
      </c>
      <c r="K164" t="s">
        <v>16</v>
      </c>
      <c r="L164" t="s">
        <v>16</v>
      </c>
      <c r="M164" t="s">
        <v>17</v>
      </c>
    </row>
    <row r="165" spans="1:13" x14ac:dyDescent="0.2">
      <c r="A165">
        <v>5174</v>
      </c>
      <c r="B165" t="s">
        <v>372</v>
      </c>
      <c r="C165" t="s">
        <v>373</v>
      </c>
      <c r="D165">
        <v>166</v>
      </c>
      <c r="E165">
        <v>3</v>
      </c>
      <c r="F165" t="s">
        <v>70</v>
      </c>
      <c r="G165">
        <v>30960</v>
      </c>
      <c r="H165">
        <v>7</v>
      </c>
      <c r="I165">
        <v>5</v>
      </c>
      <c r="J165">
        <v>4</v>
      </c>
      <c r="K165" t="s">
        <v>16</v>
      </c>
      <c r="L165" t="s">
        <v>17</v>
      </c>
      <c r="M165" t="s">
        <v>17</v>
      </c>
    </row>
    <row r="166" spans="1:13" x14ac:dyDescent="0.2">
      <c r="A166">
        <v>4520</v>
      </c>
      <c r="B166" t="s">
        <v>374</v>
      </c>
      <c r="C166" t="s">
        <v>375</v>
      </c>
      <c r="D166">
        <v>35</v>
      </c>
      <c r="E166">
        <v>3</v>
      </c>
      <c r="F166" t="s">
        <v>15</v>
      </c>
      <c r="G166">
        <v>23186</v>
      </c>
      <c r="H166">
        <v>4</v>
      </c>
      <c r="I166">
        <v>1</v>
      </c>
      <c r="J166">
        <v>5</v>
      </c>
      <c r="K166" t="s">
        <v>17</v>
      </c>
      <c r="L166" t="s">
        <v>17</v>
      </c>
      <c r="M166" t="s">
        <v>17</v>
      </c>
    </row>
    <row r="167" spans="1:13" x14ac:dyDescent="0.2">
      <c r="A167">
        <v>5440</v>
      </c>
      <c r="B167" t="s">
        <v>376</v>
      </c>
      <c r="C167" t="s">
        <v>377</v>
      </c>
      <c r="D167">
        <v>92</v>
      </c>
      <c r="E167">
        <v>6</v>
      </c>
      <c r="F167" t="s">
        <v>53</v>
      </c>
      <c r="G167">
        <v>33285</v>
      </c>
      <c r="H167">
        <v>7</v>
      </c>
      <c r="I167">
        <v>5</v>
      </c>
      <c r="J167">
        <v>10</v>
      </c>
      <c r="K167" t="s">
        <v>16</v>
      </c>
      <c r="L167" t="s">
        <v>16</v>
      </c>
      <c r="M167" t="s">
        <v>17</v>
      </c>
    </row>
    <row r="168" spans="1:13" x14ac:dyDescent="0.2">
      <c r="A168">
        <v>2786</v>
      </c>
      <c r="B168" t="s">
        <v>378</v>
      </c>
      <c r="C168" t="s">
        <v>379</v>
      </c>
      <c r="D168">
        <v>236</v>
      </c>
      <c r="E168">
        <v>10</v>
      </c>
      <c r="F168" t="s">
        <v>34</v>
      </c>
      <c r="G168">
        <v>26474</v>
      </c>
      <c r="H168">
        <v>6</v>
      </c>
      <c r="I168">
        <v>3</v>
      </c>
      <c r="J168">
        <v>3</v>
      </c>
      <c r="K168" t="s">
        <v>17</v>
      </c>
      <c r="L168" t="s">
        <v>16</v>
      </c>
      <c r="M168" t="s">
        <v>17</v>
      </c>
    </row>
    <row r="169" spans="1:13" x14ac:dyDescent="0.2">
      <c r="A169">
        <v>3986</v>
      </c>
      <c r="B169" t="s">
        <v>380</v>
      </c>
      <c r="C169" t="s">
        <v>381</v>
      </c>
      <c r="D169">
        <v>201</v>
      </c>
      <c r="E169">
        <v>10</v>
      </c>
      <c r="F169" t="s">
        <v>34</v>
      </c>
      <c r="G169">
        <v>22803</v>
      </c>
      <c r="H169">
        <v>2</v>
      </c>
      <c r="I169">
        <v>2</v>
      </c>
      <c r="J169">
        <v>5</v>
      </c>
      <c r="K169" t="s">
        <v>17</v>
      </c>
      <c r="L169" t="s">
        <v>17</v>
      </c>
      <c r="M169" t="s">
        <v>17</v>
      </c>
    </row>
    <row r="170" spans="1:13" x14ac:dyDescent="0.2">
      <c r="A170">
        <v>5065</v>
      </c>
      <c r="B170" t="s">
        <v>382</v>
      </c>
      <c r="C170" t="s">
        <v>383</v>
      </c>
      <c r="D170">
        <v>192</v>
      </c>
      <c r="E170">
        <v>9</v>
      </c>
      <c r="F170" t="s">
        <v>40</v>
      </c>
      <c r="G170">
        <v>33602</v>
      </c>
      <c r="H170">
        <v>2</v>
      </c>
      <c r="I170">
        <v>5</v>
      </c>
      <c r="J170">
        <v>1</v>
      </c>
      <c r="K170" t="s">
        <v>16</v>
      </c>
      <c r="L170" t="s">
        <v>16</v>
      </c>
      <c r="M170" t="s">
        <v>16</v>
      </c>
    </row>
    <row r="171" spans="1:13" x14ac:dyDescent="0.2">
      <c r="A171">
        <v>3150</v>
      </c>
      <c r="B171" t="s">
        <v>384</v>
      </c>
      <c r="C171" t="s">
        <v>385</v>
      </c>
      <c r="D171">
        <v>51</v>
      </c>
      <c r="E171">
        <v>8</v>
      </c>
      <c r="F171" t="s">
        <v>70</v>
      </c>
      <c r="G171">
        <v>22688</v>
      </c>
      <c r="H171">
        <v>1</v>
      </c>
      <c r="I171">
        <v>4</v>
      </c>
      <c r="J171">
        <v>7</v>
      </c>
      <c r="K171" t="s">
        <v>17</v>
      </c>
      <c r="L171" t="s">
        <v>17</v>
      </c>
      <c r="M171" t="s">
        <v>17</v>
      </c>
    </row>
    <row r="172" spans="1:13" x14ac:dyDescent="0.2">
      <c r="A172">
        <v>5410</v>
      </c>
      <c r="B172" t="s">
        <v>386</v>
      </c>
      <c r="C172" t="s">
        <v>218</v>
      </c>
      <c r="D172">
        <v>233</v>
      </c>
      <c r="E172">
        <v>1</v>
      </c>
      <c r="F172" t="s">
        <v>29</v>
      </c>
      <c r="G172">
        <v>21801</v>
      </c>
      <c r="H172">
        <v>4</v>
      </c>
      <c r="I172">
        <v>4</v>
      </c>
      <c r="J172">
        <v>3</v>
      </c>
      <c r="K172" t="s">
        <v>17</v>
      </c>
      <c r="L172" t="s">
        <v>16</v>
      </c>
      <c r="M172" t="s">
        <v>16</v>
      </c>
    </row>
    <row r="173" spans="1:13" x14ac:dyDescent="0.2">
      <c r="A173">
        <v>4411</v>
      </c>
      <c r="B173" t="s">
        <v>387</v>
      </c>
      <c r="C173" t="s">
        <v>388</v>
      </c>
      <c r="D173">
        <v>107</v>
      </c>
      <c r="E173">
        <v>9</v>
      </c>
      <c r="F173" t="s">
        <v>246</v>
      </c>
      <c r="G173">
        <v>33158</v>
      </c>
      <c r="H173">
        <v>4</v>
      </c>
      <c r="I173">
        <v>1</v>
      </c>
      <c r="J173">
        <v>2</v>
      </c>
      <c r="K173" t="s">
        <v>16</v>
      </c>
      <c r="L173" t="s">
        <v>16</v>
      </c>
      <c r="M173" t="s">
        <v>17</v>
      </c>
    </row>
    <row r="174" spans="1:13" x14ac:dyDescent="0.2">
      <c r="A174">
        <v>4747</v>
      </c>
      <c r="B174" t="s">
        <v>389</v>
      </c>
      <c r="C174" t="s">
        <v>390</v>
      </c>
      <c r="D174">
        <v>96</v>
      </c>
      <c r="E174">
        <v>2</v>
      </c>
      <c r="F174" t="s">
        <v>15</v>
      </c>
      <c r="G174">
        <v>31615</v>
      </c>
      <c r="H174">
        <v>5</v>
      </c>
      <c r="I174">
        <v>5</v>
      </c>
      <c r="J174">
        <v>2</v>
      </c>
      <c r="K174" t="s">
        <v>16</v>
      </c>
      <c r="L174" t="s">
        <v>17</v>
      </c>
      <c r="M174" t="s">
        <v>17</v>
      </c>
    </row>
    <row r="175" spans="1:13" x14ac:dyDescent="0.2">
      <c r="A175">
        <v>5186</v>
      </c>
      <c r="B175" t="s">
        <v>391</v>
      </c>
      <c r="C175" t="s">
        <v>392</v>
      </c>
      <c r="D175">
        <v>190</v>
      </c>
      <c r="E175">
        <v>7</v>
      </c>
      <c r="F175" t="s">
        <v>20</v>
      </c>
      <c r="G175">
        <v>28255</v>
      </c>
      <c r="H175">
        <v>5</v>
      </c>
      <c r="I175">
        <v>4</v>
      </c>
      <c r="J175">
        <v>4</v>
      </c>
      <c r="K175" t="s">
        <v>17</v>
      </c>
      <c r="L175" t="s">
        <v>16</v>
      </c>
      <c r="M175" t="s">
        <v>17</v>
      </c>
    </row>
    <row r="176" spans="1:13" x14ac:dyDescent="0.2">
      <c r="A176">
        <v>4270</v>
      </c>
      <c r="B176" t="s">
        <v>393</v>
      </c>
      <c r="C176" t="s">
        <v>394</v>
      </c>
      <c r="D176">
        <v>245</v>
      </c>
      <c r="E176">
        <v>3</v>
      </c>
      <c r="F176" t="s">
        <v>164</v>
      </c>
      <c r="G176">
        <v>28478</v>
      </c>
      <c r="H176">
        <v>1</v>
      </c>
      <c r="I176">
        <v>3</v>
      </c>
      <c r="J176">
        <v>6</v>
      </c>
      <c r="K176" t="s">
        <v>16</v>
      </c>
      <c r="L176" t="s">
        <v>17</v>
      </c>
      <c r="M176" t="s">
        <v>16</v>
      </c>
    </row>
    <row r="177" spans="1:13" x14ac:dyDescent="0.2">
      <c r="A177">
        <v>2531</v>
      </c>
      <c r="B177" t="s">
        <v>395</v>
      </c>
      <c r="C177" t="s">
        <v>396</v>
      </c>
      <c r="D177">
        <v>233</v>
      </c>
      <c r="E177">
        <v>9</v>
      </c>
      <c r="F177" t="s">
        <v>189</v>
      </c>
      <c r="G177">
        <v>20114</v>
      </c>
      <c r="H177">
        <v>3</v>
      </c>
      <c r="I177">
        <v>3</v>
      </c>
      <c r="J177">
        <v>2</v>
      </c>
      <c r="K177" t="s">
        <v>16</v>
      </c>
      <c r="L177" t="s">
        <v>17</v>
      </c>
      <c r="M177" t="s">
        <v>17</v>
      </c>
    </row>
    <row r="178" spans="1:13" x14ac:dyDescent="0.2">
      <c r="A178">
        <v>2440</v>
      </c>
      <c r="B178" t="s">
        <v>397</v>
      </c>
      <c r="C178" t="s">
        <v>398</v>
      </c>
      <c r="D178">
        <v>279</v>
      </c>
      <c r="E178">
        <v>5</v>
      </c>
      <c r="F178" t="s">
        <v>29</v>
      </c>
      <c r="G178">
        <v>27118</v>
      </c>
      <c r="H178">
        <v>4</v>
      </c>
      <c r="I178">
        <v>2</v>
      </c>
      <c r="J178">
        <v>2</v>
      </c>
      <c r="K178" t="s">
        <v>16</v>
      </c>
      <c r="L178" t="s">
        <v>16</v>
      </c>
      <c r="M178" t="s">
        <v>16</v>
      </c>
    </row>
    <row r="179" spans="1:13" x14ac:dyDescent="0.2">
      <c r="A179">
        <v>4761</v>
      </c>
      <c r="B179" t="s">
        <v>399</v>
      </c>
      <c r="C179" t="s">
        <v>400</v>
      </c>
      <c r="D179">
        <v>252</v>
      </c>
      <c r="E179">
        <v>9</v>
      </c>
      <c r="F179" t="s">
        <v>109</v>
      </c>
      <c r="G179">
        <v>26695</v>
      </c>
      <c r="H179">
        <v>3</v>
      </c>
      <c r="I179">
        <v>1</v>
      </c>
      <c r="J179">
        <v>8</v>
      </c>
      <c r="K179" t="s">
        <v>17</v>
      </c>
      <c r="L179" t="s">
        <v>17</v>
      </c>
      <c r="M179" t="s">
        <v>17</v>
      </c>
    </row>
    <row r="180" spans="1:13" x14ac:dyDescent="0.2">
      <c r="A180">
        <v>5491</v>
      </c>
      <c r="B180" t="s">
        <v>401</v>
      </c>
      <c r="C180" t="s">
        <v>402</v>
      </c>
      <c r="D180">
        <v>281</v>
      </c>
      <c r="E180">
        <v>2</v>
      </c>
      <c r="F180" t="s">
        <v>67</v>
      </c>
      <c r="G180">
        <v>31244</v>
      </c>
      <c r="H180">
        <v>2</v>
      </c>
      <c r="I180">
        <v>2</v>
      </c>
      <c r="J180">
        <v>5</v>
      </c>
      <c r="K180" t="s">
        <v>16</v>
      </c>
      <c r="L180" t="s">
        <v>17</v>
      </c>
      <c r="M180" t="s">
        <v>17</v>
      </c>
    </row>
    <row r="181" spans="1:13" x14ac:dyDescent="0.2">
      <c r="A181">
        <v>5171</v>
      </c>
      <c r="B181" t="s">
        <v>403</v>
      </c>
      <c r="C181" t="s">
        <v>404</v>
      </c>
      <c r="D181">
        <v>97</v>
      </c>
      <c r="E181">
        <v>2</v>
      </c>
      <c r="F181" t="s">
        <v>246</v>
      </c>
      <c r="G181">
        <v>33243</v>
      </c>
      <c r="H181">
        <v>4</v>
      </c>
      <c r="I181">
        <v>3</v>
      </c>
      <c r="J181">
        <v>4</v>
      </c>
      <c r="K181" t="s">
        <v>16</v>
      </c>
      <c r="L181" t="s">
        <v>16</v>
      </c>
      <c r="M181" t="s">
        <v>17</v>
      </c>
    </row>
    <row r="182" spans="1:13" x14ac:dyDescent="0.2">
      <c r="A182">
        <v>4990</v>
      </c>
      <c r="B182" t="s">
        <v>405</v>
      </c>
      <c r="C182" t="s">
        <v>406</v>
      </c>
      <c r="D182">
        <v>81</v>
      </c>
      <c r="E182">
        <v>6</v>
      </c>
      <c r="F182" t="s">
        <v>142</v>
      </c>
      <c r="G182">
        <v>28147</v>
      </c>
      <c r="H182">
        <v>7</v>
      </c>
      <c r="I182">
        <v>3</v>
      </c>
      <c r="J182">
        <v>7</v>
      </c>
      <c r="K182" t="s">
        <v>17</v>
      </c>
      <c r="L182" t="s">
        <v>16</v>
      </c>
      <c r="M182" t="s">
        <v>16</v>
      </c>
    </row>
    <row r="183" spans="1:13" x14ac:dyDescent="0.2">
      <c r="A183">
        <v>4501</v>
      </c>
      <c r="B183" t="s">
        <v>407</v>
      </c>
      <c r="C183" t="s">
        <v>408</v>
      </c>
      <c r="D183">
        <v>147</v>
      </c>
      <c r="E183">
        <v>8</v>
      </c>
      <c r="F183" t="s">
        <v>76</v>
      </c>
      <c r="G183">
        <v>23956</v>
      </c>
      <c r="H183">
        <v>1</v>
      </c>
      <c r="I183">
        <v>3</v>
      </c>
      <c r="J183">
        <v>4</v>
      </c>
      <c r="K183" t="s">
        <v>16</v>
      </c>
      <c r="L183" t="s">
        <v>17</v>
      </c>
      <c r="M183" t="s">
        <v>17</v>
      </c>
    </row>
    <row r="184" spans="1:13" x14ac:dyDescent="0.2">
      <c r="A184">
        <v>4150</v>
      </c>
      <c r="B184" t="s">
        <v>409</v>
      </c>
      <c r="C184" t="s">
        <v>410</v>
      </c>
      <c r="D184">
        <v>182</v>
      </c>
      <c r="E184">
        <v>9</v>
      </c>
      <c r="F184" t="s">
        <v>48</v>
      </c>
      <c r="G184">
        <v>33355</v>
      </c>
      <c r="H184">
        <v>6</v>
      </c>
      <c r="I184">
        <v>2</v>
      </c>
      <c r="J184">
        <v>7</v>
      </c>
      <c r="K184" t="s">
        <v>17</v>
      </c>
      <c r="L184" t="s">
        <v>16</v>
      </c>
      <c r="M184" t="s">
        <v>17</v>
      </c>
    </row>
    <row r="185" spans="1:13" x14ac:dyDescent="0.2">
      <c r="A185">
        <v>4230</v>
      </c>
      <c r="B185" t="s">
        <v>411</v>
      </c>
      <c r="C185" t="s">
        <v>412</v>
      </c>
      <c r="D185">
        <v>152</v>
      </c>
      <c r="E185">
        <v>2</v>
      </c>
      <c r="F185" t="s">
        <v>147</v>
      </c>
      <c r="G185">
        <v>31471</v>
      </c>
      <c r="H185">
        <v>4</v>
      </c>
      <c r="I185">
        <v>1</v>
      </c>
      <c r="J185">
        <v>3</v>
      </c>
      <c r="K185" t="s">
        <v>17</v>
      </c>
      <c r="L185" t="s">
        <v>16</v>
      </c>
      <c r="M185" t="s">
        <v>17</v>
      </c>
    </row>
    <row r="186" spans="1:13" x14ac:dyDescent="0.2">
      <c r="A186">
        <v>2611</v>
      </c>
      <c r="B186" t="s">
        <v>413</v>
      </c>
      <c r="C186" t="s">
        <v>414</v>
      </c>
      <c r="D186">
        <v>75</v>
      </c>
      <c r="E186">
        <v>9</v>
      </c>
      <c r="F186" t="s">
        <v>40</v>
      </c>
      <c r="G186">
        <v>29420</v>
      </c>
      <c r="H186">
        <v>1</v>
      </c>
      <c r="I186">
        <v>4</v>
      </c>
      <c r="J186">
        <v>6</v>
      </c>
      <c r="K186" t="s">
        <v>17</v>
      </c>
      <c r="L186" t="s">
        <v>16</v>
      </c>
      <c r="M186" t="s">
        <v>17</v>
      </c>
    </row>
    <row r="187" spans="1:13" x14ac:dyDescent="0.2">
      <c r="A187">
        <v>2332</v>
      </c>
      <c r="B187" t="s">
        <v>415</v>
      </c>
      <c r="C187" t="s">
        <v>416</v>
      </c>
      <c r="D187">
        <v>35</v>
      </c>
      <c r="E187">
        <v>5</v>
      </c>
      <c r="F187" t="s">
        <v>147</v>
      </c>
      <c r="G187">
        <v>34105</v>
      </c>
      <c r="H187">
        <v>4</v>
      </c>
      <c r="I187">
        <v>3</v>
      </c>
      <c r="J187">
        <v>4</v>
      </c>
      <c r="K187" t="s">
        <v>17</v>
      </c>
      <c r="L187" t="s">
        <v>17</v>
      </c>
      <c r="M187" t="s">
        <v>17</v>
      </c>
    </row>
    <row r="188" spans="1:13" x14ac:dyDescent="0.2">
      <c r="A188">
        <v>3884</v>
      </c>
      <c r="B188" t="s">
        <v>417</v>
      </c>
      <c r="C188" t="s">
        <v>418</v>
      </c>
      <c r="D188">
        <v>144</v>
      </c>
      <c r="E188">
        <v>7</v>
      </c>
      <c r="F188" t="s">
        <v>82</v>
      </c>
      <c r="G188">
        <v>27447</v>
      </c>
      <c r="H188">
        <v>3</v>
      </c>
      <c r="I188">
        <v>1</v>
      </c>
      <c r="J188">
        <v>5</v>
      </c>
      <c r="K188" t="s">
        <v>17</v>
      </c>
      <c r="L188" t="s">
        <v>16</v>
      </c>
      <c r="M188" t="s">
        <v>17</v>
      </c>
    </row>
    <row r="189" spans="1:13" x14ac:dyDescent="0.2">
      <c r="A189">
        <v>4176</v>
      </c>
      <c r="B189" t="s">
        <v>419</v>
      </c>
      <c r="C189" t="s">
        <v>420</v>
      </c>
      <c r="D189">
        <v>297</v>
      </c>
      <c r="E189">
        <v>2</v>
      </c>
      <c r="F189" t="s">
        <v>58</v>
      </c>
      <c r="G189">
        <v>25298</v>
      </c>
      <c r="H189">
        <v>6</v>
      </c>
      <c r="I189">
        <v>4</v>
      </c>
      <c r="J189">
        <v>1</v>
      </c>
      <c r="K189" t="s">
        <v>17</v>
      </c>
      <c r="L189" t="s">
        <v>16</v>
      </c>
      <c r="M189" t="s">
        <v>17</v>
      </c>
    </row>
    <row r="190" spans="1:13" x14ac:dyDescent="0.2">
      <c r="A190">
        <v>4635</v>
      </c>
      <c r="B190" t="s">
        <v>421</v>
      </c>
      <c r="C190" t="s">
        <v>422</v>
      </c>
      <c r="D190">
        <v>80</v>
      </c>
      <c r="E190">
        <v>2</v>
      </c>
      <c r="F190" t="s">
        <v>67</v>
      </c>
      <c r="G190">
        <v>25011</v>
      </c>
      <c r="H190">
        <v>6</v>
      </c>
      <c r="I190">
        <v>3</v>
      </c>
      <c r="J190">
        <v>6</v>
      </c>
      <c r="K190" t="s">
        <v>17</v>
      </c>
      <c r="L190" t="s">
        <v>17</v>
      </c>
      <c r="M190" t="s">
        <v>16</v>
      </c>
    </row>
    <row r="191" spans="1:13" x14ac:dyDescent="0.2">
      <c r="A191">
        <v>3614</v>
      </c>
      <c r="B191" t="s">
        <v>423</v>
      </c>
      <c r="C191" t="s">
        <v>424</v>
      </c>
      <c r="D191">
        <v>62</v>
      </c>
      <c r="E191">
        <v>1</v>
      </c>
      <c r="F191" t="s">
        <v>189</v>
      </c>
      <c r="G191">
        <v>26451</v>
      </c>
      <c r="H191">
        <v>7</v>
      </c>
      <c r="I191">
        <v>5</v>
      </c>
      <c r="J191">
        <v>2</v>
      </c>
      <c r="K191" t="s">
        <v>17</v>
      </c>
      <c r="L191" t="s">
        <v>16</v>
      </c>
      <c r="M191" t="s">
        <v>16</v>
      </c>
    </row>
    <row r="192" spans="1:13" x14ac:dyDescent="0.2">
      <c r="A192">
        <v>3610</v>
      </c>
      <c r="B192" t="s">
        <v>425</v>
      </c>
      <c r="C192" t="s">
        <v>426</v>
      </c>
      <c r="D192">
        <v>87</v>
      </c>
      <c r="E192">
        <v>9</v>
      </c>
      <c r="F192" t="s">
        <v>82</v>
      </c>
      <c r="G192">
        <v>30463</v>
      </c>
      <c r="H192">
        <v>5</v>
      </c>
      <c r="I192">
        <v>3</v>
      </c>
      <c r="J192">
        <v>5</v>
      </c>
      <c r="K192" t="s">
        <v>16</v>
      </c>
      <c r="L192" t="s">
        <v>17</v>
      </c>
      <c r="M192" t="s">
        <v>16</v>
      </c>
    </row>
    <row r="193" spans="1:13" x14ac:dyDescent="0.2">
      <c r="A193">
        <v>3116</v>
      </c>
      <c r="B193" t="s">
        <v>427</v>
      </c>
      <c r="C193" t="s">
        <v>428</v>
      </c>
      <c r="D193">
        <v>20</v>
      </c>
      <c r="E193">
        <v>5</v>
      </c>
      <c r="F193" t="s">
        <v>124</v>
      </c>
      <c r="G193">
        <v>27124</v>
      </c>
      <c r="H193">
        <v>4</v>
      </c>
      <c r="I193">
        <v>3</v>
      </c>
      <c r="J193">
        <v>10</v>
      </c>
      <c r="K193" t="s">
        <v>17</v>
      </c>
      <c r="L193" t="s">
        <v>17</v>
      </c>
      <c r="M193" t="s">
        <v>16</v>
      </c>
    </row>
    <row r="194" spans="1:13" x14ac:dyDescent="0.2">
      <c r="A194">
        <v>3585</v>
      </c>
      <c r="B194" t="s">
        <v>429</v>
      </c>
      <c r="C194" t="s">
        <v>430</v>
      </c>
      <c r="D194">
        <v>103</v>
      </c>
      <c r="E194">
        <v>4</v>
      </c>
      <c r="F194" t="s">
        <v>23</v>
      </c>
      <c r="G194">
        <v>24477</v>
      </c>
      <c r="H194">
        <v>2</v>
      </c>
      <c r="I194">
        <v>5</v>
      </c>
      <c r="J194">
        <v>7</v>
      </c>
      <c r="K194" t="s">
        <v>16</v>
      </c>
      <c r="L194" t="s">
        <v>17</v>
      </c>
      <c r="M194" t="s">
        <v>17</v>
      </c>
    </row>
    <row r="195" spans="1:13" x14ac:dyDescent="0.2">
      <c r="A195">
        <v>3535</v>
      </c>
      <c r="B195" t="s">
        <v>431</v>
      </c>
      <c r="C195" t="s">
        <v>432</v>
      </c>
      <c r="D195">
        <v>279</v>
      </c>
      <c r="E195">
        <v>8</v>
      </c>
      <c r="F195" t="s">
        <v>184</v>
      </c>
      <c r="G195">
        <v>23086</v>
      </c>
      <c r="H195">
        <v>5</v>
      </c>
      <c r="I195">
        <v>2</v>
      </c>
      <c r="J195">
        <v>3</v>
      </c>
      <c r="K195" t="s">
        <v>17</v>
      </c>
      <c r="L195" t="s">
        <v>17</v>
      </c>
      <c r="M195" t="s">
        <v>17</v>
      </c>
    </row>
    <row r="196" spans="1:13" x14ac:dyDescent="0.2">
      <c r="A196">
        <v>3088</v>
      </c>
      <c r="B196" t="s">
        <v>433</v>
      </c>
      <c r="C196" t="s">
        <v>434</v>
      </c>
      <c r="D196">
        <v>122</v>
      </c>
      <c r="E196">
        <v>1</v>
      </c>
      <c r="F196" t="s">
        <v>291</v>
      </c>
      <c r="G196">
        <v>32074</v>
      </c>
      <c r="H196">
        <v>2</v>
      </c>
      <c r="I196">
        <v>3</v>
      </c>
      <c r="J196">
        <v>6</v>
      </c>
      <c r="K196" t="s">
        <v>17</v>
      </c>
      <c r="L196" t="s">
        <v>17</v>
      </c>
      <c r="M196" t="s">
        <v>17</v>
      </c>
    </row>
    <row r="197" spans="1:13" x14ac:dyDescent="0.2">
      <c r="A197">
        <v>4719</v>
      </c>
      <c r="B197" t="s">
        <v>435</v>
      </c>
      <c r="C197" t="s">
        <v>436</v>
      </c>
      <c r="D197">
        <v>181</v>
      </c>
      <c r="E197">
        <v>8</v>
      </c>
      <c r="F197" t="s">
        <v>20</v>
      </c>
      <c r="G197">
        <v>28153</v>
      </c>
      <c r="H197">
        <v>4</v>
      </c>
      <c r="I197">
        <v>3</v>
      </c>
      <c r="J197">
        <v>8</v>
      </c>
      <c r="K197" t="s">
        <v>17</v>
      </c>
      <c r="L197" t="s">
        <v>17</v>
      </c>
      <c r="M197" t="s">
        <v>16</v>
      </c>
    </row>
    <row r="198" spans="1:13" x14ac:dyDescent="0.2">
      <c r="A198">
        <v>2517</v>
      </c>
      <c r="B198" t="s">
        <v>437</v>
      </c>
      <c r="C198" t="s">
        <v>438</v>
      </c>
      <c r="D198">
        <v>139</v>
      </c>
      <c r="E198">
        <v>3</v>
      </c>
      <c r="F198" t="s">
        <v>101</v>
      </c>
      <c r="G198">
        <v>28186</v>
      </c>
      <c r="H198">
        <v>2</v>
      </c>
      <c r="I198">
        <v>5</v>
      </c>
      <c r="J198">
        <v>8</v>
      </c>
      <c r="K198" t="s">
        <v>16</v>
      </c>
      <c r="L198" t="s">
        <v>17</v>
      </c>
      <c r="M198" t="s">
        <v>17</v>
      </c>
    </row>
    <row r="199" spans="1:13" x14ac:dyDescent="0.2">
      <c r="A199">
        <v>3314</v>
      </c>
      <c r="B199" t="s">
        <v>439</v>
      </c>
      <c r="C199" t="s">
        <v>440</v>
      </c>
      <c r="D199">
        <v>239</v>
      </c>
      <c r="E199">
        <v>7</v>
      </c>
      <c r="F199" t="s">
        <v>164</v>
      </c>
      <c r="G199">
        <v>31416</v>
      </c>
      <c r="H199">
        <v>6</v>
      </c>
      <c r="I199">
        <v>3</v>
      </c>
      <c r="J199">
        <v>4</v>
      </c>
      <c r="K199" t="s">
        <v>17</v>
      </c>
      <c r="L199" t="s">
        <v>17</v>
      </c>
      <c r="M199" t="s">
        <v>16</v>
      </c>
    </row>
    <row r="200" spans="1:13" x14ac:dyDescent="0.2">
      <c r="A200">
        <v>5294</v>
      </c>
      <c r="B200" t="s">
        <v>441</v>
      </c>
      <c r="C200" t="s">
        <v>442</v>
      </c>
      <c r="D200">
        <v>281</v>
      </c>
      <c r="E200">
        <v>4</v>
      </c>
      <c r="F200" t="s">
        <v>37</v>
      </c>
      <c r="G200">
        <v>27267</v>
      </c>
      <c r="H200">
        <v>1</v>
      </c>
      <c r="I200">
        <v>3</v>
      </c>
      <c r="J200">
        <v>3</v>
      </c>
      <c r="K200" t="s">
        <v>16</v>
      </c>
      <c r="L200" t="s">
        <v>16</v>
      </c>
      <c r="M200" t="s">
        <v>17</v>
      </c>
    </row>
    <row r="201" spans="1:13" x14ac:dyDescent="0.2">
      <c r="A201">
        <v>4821</v>
      </c>
      <c r="B201" t="s">
        <v>443</v>
      </c>
      <c r="C201" t="s">
        <v>444</v>
      </c>
      <c r="D201">
        <v>239</v>
      </c>
      <c r="E201">
        <v>3</v>
      </c>
      <c r="F201" t="s">
        <v>291</v>
      </c>
      <c r="G201">
        <v>24630</v>
      </c>
      <c r="H201">
        <v>4</v>
      </c>
      <c r="I201">
        <v>3</v>
      </c>
      <c r="J201">
        <v>6</v>
      </c>
      <c r="K201" t="s">
        <v>17</v>
      </c>
      <c r="L201" t="s">
        <v>17</v>
      </c>
      <c r="M201" t="s">
        <v>17</v>
      </c>
    </row>
    <row r="202" spans="1:13" x14ac:dyDescent="0.2">
      <c r="A202">
        <v>2640</v>
      </c>
      <c r="B202" t="s">
        <v>445</v>
      </c>
      <c r="C202" t="s">
        <v>446</v>
      </c>
      <c r="D202">
        <v>178</v>
      </c>
      <c r="E202">
        <v>7</v>
      </c>
      <c r="F202" t="s">
        <v>127</v>
      </c>
      <c r="G202">
        <v>33220</v>
      </c>
      <c r="H202">
        <v>5</v>
      </c>
      <c r="I202">
        <v>2</v>
      </c>
      <c r="J202">
        <v>7</v>
      </c>
      <c r="K202" t="s">
        <v>17</v>
      </c>
      <c r="L202" t="s">
        <v>16</v>
      </c>
      <c r="M202" t="s">
        <v>16</v>
      </c>
    </row>
    <row r="203" spans="1:13" x14ac:dyDescent="0.2">
      <c r="A203">
        <v>4456</v>
      </c>
      <c r="B203" t="s">
        <v>447</v>
      </c>
      <c r="C203" t="s">
        <v>448</v>
      </c>
      <c r="D203">
        <v>28</v>
      </c>
      <c r="E203">
        <v>1</v>
      </c>
      <c r="F203" t="s">
        <v>291</v>
      </c>
      <c r="G203">
        <v>33279</v>
      </c>
      <c r="H203">
        <v>2</v>
      </c>
      <c r="I203">
        <v>3</v>
      </c>
      <c r="J203">
        <v>9</v>
      </c>
      <c r="K203" t="s">
        <v>17</v>
      </c>
      <c r="L203" t="s">
        <v>17</v>
      </c>
      <c r="M203" t="s">
        <v>16</v>
      </c>
    </row>
    <row r="204" spans="1:13" x14ac:dyDescent="0.2">
      <c r="A204">
        <v>3850</v>
      </c>
      <c r="B204" t="s">
        <v>449</v>
      </c>
      <c r="C204" t="s">
        <v>450</v>
      </c>
      <c r="D204">
        <v>38</v>
      </c>
      <c r="E204">
        <v>3</v>
      </c>
      <c r="F204" t="s">
        <v>70</v>
      </c>
      <c r="G204">
        <v>24723</v>
      </c>
      <c r="H204">
        <v>5</v>
      </c>
      <c r="I204">
        <v>2</v>
      </c>
      <c r="J204">
        <v>6</v>
      </c>
      <c r="K204" t="s">
        <v>16</v>
      </c>
      <c r="L204" t="s">
        <v>17</v>
      </c>
      <c r="M204" t="s">
        <v>17</v>
      </c>
    </row>
    <row r="205" spans="1:13" x14ac:dyDescent="0.2">
      <c r="A205">
        <v>5254</v>
      </c>
      <c r="B205" t="s">
        <v>451</v>
      </c>
      <c r="C205" t="s">
        <v>452</v>
      </c>
      <c r="D205">
        <v>30</v>
      </c>
      <c r="E205">
        <v>3</v>
      </c>
      <c r="F205" t="s">
        <v>189</v>
      </c>
      <c r="G205">
        <v>29838</v>
      </c>
      <c r="H205">
        <v>7</v>
      </c>
      <c r="I205">
        <v>4</v>
      </c>
      <c r="J205">
        <v>0</v>
      </c>
      <c r="K205" t="s">
        <v>17</v>
      </c>
      <c r="L205" t="s">
        <v>17</v>
      </c>
      <c r="M205" t="s">
        <v>16</v>
      </c>
    </row>
    <row r="206" spans="1:13" x14ac:dyDescent="0.2">
      <c r="A206">
        <v>4023</v>
      </c>
      <c r="B206" t="s">
        <v>453</v>
      </c>
      <c r="C206" t="s">
        <v>454</v>
      </c>
      <c r="D206">
        <v>83</v>
      </c>
      <c r="E206">
        <v>6</v>
      </c>
      <c r="F206" t="s">
        <v>127</v>
      </c>
      <c r="G206">
        <v>31007</v>
      </c>
      <c r="H206">
        <v>5</v>
      </c>
      <c r="I206">
        <v>5</v>
      </c>
      <c r="J206">
        <v>1</v>
      </c>
      <c r="K206" t="s">
        <v>17</v>
      </c>
      <c r="L206" t="s">
        <v>16</v>
      </c>
      <c r="M206" t="s">
        <v>16</v>
      </c>
    </row>
    <row r="207" spans="1:13" x14ac:dyDescent="0.2">
      <c r="A207">
        <v>5142</v>
      </c>
      <c r="B207" t="s">
        <v>455</v>
      </c>
      <c r="C207" t="s">
        <v>456</v>
      </c>
      <c r="D207">
        <v>100</v>
      </c>
      <c r="E207">
        <v>8</v>
      </c>
      <c r="F207" t="s">
        <v>137</v>
      </c>
      <c r="G207">
        <v>22497</v>
      </c>
      <c r="H207">
        <v>3</v>
      </c>
      <c r="I207">
        <v>3</v>
      </c>
      <c r="J207">
        <v>7</v>
      </c>
      <c r="K207" t="s">
        <v>17</v>
      </c>
      <c r="L207" t="s">
        <v>17</v>
      </c>
      <c r="M207" t="s">
        <v>17</v>
      </c>
    </row>
    <row r="208" spans="1:13" x14ac:dyDescent="0.2">
      <c r="A208">
        <v>3596</v>
      </c>
      <c r="B208" t="s">
        <v>457</v>
      </c>
      <c r="C208" t="s">
        <v>458</v>
      </c>
      <c r="D208">
        <v>64</v>
      </c>
      <c r="E208">
        <v>1</v>
      </c>
      <c r="F208" t="s">
        <v>246</v>
      </c>
      <c r="G208">
        <v>31453</v>
      </c>
      <c r="H208">
        <v>5</v>
      </c>
      <c r="I208">
        <v>2</v>
      </c>
      <c r="J208">
        <v>3</v>
      </c>
      <c r="K208" t="s">
        <v>17</v>
      </c>
      <c r="L208" t="s">
        <v>16</v>
      </c>
      <c r="M208" t="s">
        <v>16</v>
      </c>
    </row>
    <row r="209" spans="1:13" x14ac:dyDescent="0.2">
      <c r="A209">
        <v>2339</v>
      </c>
      <c r="B209" t="s">
        <v>459</v>
      </c>
      <c r="C209" t="s">
        <v>460</v>
      </c>
      <c r="D209">
        <v>100</v>
      </c>
      <c r="E209">
        <v>3</v>
      </c>
      <c r="F209" t="s">
        <v>179</v>
      </c>
      <c r="G209">
        <v>31835</v>
      </c>
      <c r="H209">
        <v>2</v>
      </c>
      <c r="I209">
        <v>4</v>
      </c>
      <c r="J209">
        <v>3</v>
      </c>
      <c r="K209" t="s">
        <v>17</v>
      </c>
      <c r="L209" t="s">
        <v>17</v>
      </c>
      <c r="M209" t="s">
        <v>17</v>
      </c>
    </row>
    <row r="210" spans="1:13" x14ac:dyDescent="0.2">
      <c r="A210">
        <v>4756</v>
      </c>
      <c r="B210" t="s">
        <v>461</v>
      </c>
      <c r="C210" t="s">
        <v>462</v>
      </c>
      <c r="D210">
        <v>168</v>
      </c>
      <c r="E210">
        <v>10</v>
      </c>
      <c r="F210" t="s">
        <v>137</v>
      </c>
      <c r="G210">
        <v>28729</v>
      </c>
      <c r="H210">
        <v>1</v>
      </c>
      <c r="I210">
        <v>2</v>
      </c>
      <c r="J210">
        <v>4</v>
      </c>
      <c r="K210" t="s">
        <v>17</v>
      </c>
      <c r="L210" t="s">
        <v>17</v>
      </c>
      <c r="M210" t="s">
        <v>16</v>
      </c>
    </row>
    <row r="211" spans="1:13" x14ac:dyDescent="0.2">
      <c r="A211">
        <v>4203</v>
      </c>
      <c r="B211" t="s">
        <v>463</v>
      </c>
      <c r="C211" t="s">
        <v>464</v>
      </c>
      <c r="D211">
        <v>64</v>
      </c>
      <c r="E211">
        <v>7</v>
      </c>
      <c r="F211" t="s">
        <v>127</v>
      </c>
      <c r="G211">
        <v>30283</v>
      </c>
      <c r="H211">
        <v>3</v>
      </c>
      <c r="I211">
        <v>3</v>
      </c>
      <c r="J211">
        <v>8</v>
      </c>
      <c r="K211" t="s">
        <v>17</v>
      </c>
      <c r="L211" t="s">
        <v>17</v>
      </c>
      <c r="M211" t="s">
        <v>16</v>
      </c>
    </row>
    <row r="212" spans="1:13" x14ac:dyDescent="0.2">
      <c r="A212">
        <v>3789</v>
      </c>
      <c r="B212" t="s">
        <v>465</v>
      </c>
      <c r="C212" t="s">
        <v>466</v>
      </c>
      <c r="D212">
        <v>225</v>
      </c>
      <c r="E212">
        <v>4</v>
      </c>
      <c r="F212" t="s">
        <v>20</v>
      </c>
      <c r="G212">
        <v>27375</v>
      </c>
      <c r="H212">
        <v>7</v>
      </c>
      <c r="I212">
        <v>3</v>
      </c>
      <c r="J212">
        <v>0</v>
      </c>
      <c r="K212" t="s">
        <v>16</v>
      </c>
      <c r="L212" t="s">
        <v>16</v>
      </c>
      <c r="M212" t="s">
        <v>16</v>
      </c>
    </row>
    <row r="213" spans="1:13" x14ac:dyDescent="0.2">
      <c r="A213">
        <v>3474</v>
      </c>
      <c r="B213" t="s">
        <v>467</v>
      </c>
      <c r="C213" t="s">
        <v>468</v>
      </c>
      <c r="D213">
        <v>85</v>
      </c>
      <c r="E213">
        <v>9</v>
      </c>
      <c r="F213" t="s">
        <v>91</v>
      </c>
      <c r="G213">
        <v>28225</v>
      </c>
      <c r="H213">
        <v>1</v>
      </c>
      <c r="I213">
        <v>1</v>
      </c>
      <c r="J213">
        <v>1</v>
      </c>
      <c r="K213" t="s">
        <v>16</v>
      </c>
      <c r="L213" t="s">
        <v>17</v>
      </c>
      <c r="M213" t="s">
        <v>16</v>
      </c>
    </row>
    <row r="214" spans="1:13" x14ac:dyDescent="0.2">
      <c r="A214">
        <v>4918</v>
      </c>
      <c r="B214" t="s">
        <v>469</v>
      </c>
      <c r="C214" t="s">
        <v>470</v>
      </c>
      <c r="D214">
        <v>126</v>
      </c>
      <c r="E214">
        <v>6</v>
      </c>
      <c r="F214" t="s">
        <v>20</v>
      </c>
      <c r="G214">
        <v>29824</v>
      </c>
      <c r="H214">
        <v>7</v>
      </c>
      <c r="I214">
        <v>4</v>
      </c>
      <c r="J214">
        <v>5</v>
      </c>
      <c r="K214" t="s">
        <v>16</v>
      </c>
      <c r="L214" t="s">
        <v>17</v>
      </c>
      <c r="M214" t="s">
        <v>17</v>
      </c>
    </row>
    <row r="215" spans="1:13" x14ac:dyDescent="0.2">
      <c r="A215">
        <v>4203</v>
      </c>
      <c r="B215" t="s">
        <v>471</v>
      </c>
      <c r="C215" t="s">
        <v>472</v>
      </c>
      <c r="D215">
        <v>259</v>
      </c>
      <c r="E215">
        <v>5</v>
      </c>
      <c r="F215" t="s">
        <v>34</v>
      </c>
      <c r="G215">
        <v>26755</v>
      </c>
      <c r="H215">
        <v>3</v>
      </c>
      <c r="I215">
        <v>2</v>
      </c>
      <c r="J215">
        <v>6</v>
      </c>
      <c r="K215" t="s">
        <v>16</v>
      </c>
      <c r="L215" t="s">
        <v>17</v>
      </c>
      <c r="M215" t="s">
        <v>17</v>
      </c>
    </row>
    <row r="216" spans="1:13" x14ac:dyDescent="0.2">
      <c r="A216">
        <v>4627</v>
      </c>
      <c r="B216" t="s">
        <v>473</v>
      </c>
      <c r="C216" t="s">
        <v>474</v>
      </c>
      <c r="D216">
        <v>296</v>
      </c>
      <c r="E216">
        <v>8</v>
      </c>
      <c r="F216" t="s">
        <v>37</v>
      </c>
      <c r="G216">
        <v>28675</v>
      </c>
      <c r="H216">
        <v>7</v>
      </c>
      <c r="I216">
        <v>3</v>
      </c>
      <c r="J216">
        <v>10</v>
      </c>
      <c r="K216" t="s">
        <v>17</v>
      </c>
      <c r="L216" t="s">
        <v>17</v>
      </c>
      <c r="M216" t="s">
        <v>16</v>
      </c>
    </row>
    <row r="217" spans="1:13" x14ac:dyDescent="0.2">
      <c r="A217">
        <v>4240</v>
      </c>
      <c r="B217" t="s">
        <v>475</v>
      </c>
      <c r="C217" t="s">
        <v>476</v>
      </c>
      <c r="D217">
        <v>215</v>
      </c>
      <c r="E217">
        <v>2</v>
      </c>
      <c r="F217" t="s">
        <v>142</v>
      </c>
      <c r="G217">
        <v>28602</v>
      </c>
      <c r="H217">
        <v>4</v>
      </c>
      <c r="I217">
        <v>3</v>
      </c>
      <c r="J217">
        <v>8</v>
      </c>
      <c r="K217" t="s">
        <v>17</v>
      </c>
      <c r="L217" t="s">
        <v>17</v>
      </c>
      <c r="M217" t="s">
        <v>16</v>
      </c>
    </row>
    <row r="218" spans="1:13" x14ac:dyDescent="0.2">
      <c r="A218">
        <v>3074</v>
      </c>
      <c r="B218" t="s">
        <v>477</v>
      </c>
      <c r="C218" t="s">
        <v>353</v>
      </c>
      <c r="D218">
        <v>199</v>
      </c>
      <c r="E218">
        <v>9</v>
      </c>
      <c r="F218" t="s">
        <v>29</v>
      </c>
      <c r="G218">
        <v>34637</v>
      </c>
      <c r="H218">
        <v>5</v>
      </c>
      <c r="I218">
        <v>5</v>
      </c>
      <c r="J218">
        <v>6</v>
      </c>
      <c r="K218" t="s">
        <v>17</v>
      </c>
      <c r="L218" t="s">
        <v>17</v>
      </c>
      <c r="M218" t="s">
        <v>16</v>
      </c>
    </row>
    <row r="219" spans="1:13" x14ac:dyDescent="0.2">
      <c r="A219">
        <v>3651</v>
      </c>
      <c r="B219" t="s">
        <v>478</v>
      </c>
      <c r="C219" t="s">
        <v>479</v>
      </c>
      <c r="D219">
        <v>261</v>
      </c>
      <c r="E219">
        <v>10</v>
      </c>
      <c r="F219" t="s">
        <v>189</v>
      </c>
      <c r="G219">
        <v>28610</v>
      </c>
      <c r="H219">
        <v>3</v>
      </c>
      <c r="I219">
        <v>2</v>
      </c>
      <c r="J219">
        <v>1</v>
      </c>
      <c r="K219" t="s">
        <v>16</v>
      </c>
      <c r="L219" t="s">
        <v>17</v>
      </c>
      <c r="M219" t="s">
        <v>16</v>
      </c>
    </row>
    <row r="220" spans="1:13" x14ac:dyDescent="0.2">
      <c r="A220">
        <v>2304</v>
      </c>
      <c r="B220" t="s">
        <v>480</v>
      </c>
      <c r="C220" t="s">
        <v>438</v>
      </c>
      <c r="D220">
        <v>80</v>
      </c>
      <c r="E220">
        <v>4</v>
      </c>
      <c r="F220" t="s">
        <v>164</v>
      </c>
      <c r="G220">
        <v>31089</v>
      </c>
      <c r="H220">
        <v>3</v>
      </c>
      <c r="I220">
        <v>4</v>
      </c>
      <c r="J220">
        <v>6</v>
      </c>
      <c r="K220" t="s">
        <v>17</v>
      </c>
      <c r="L220" t="s">
        <v>16</v>
      </c>
      <c r="M220" t="s">
        <v>16</v>
      </c>
    </row>
    <row r="221" spans="1:13" x14ac:dyDescent="0.2">
      <c r="A221">
        <v>2983</v>
      </c>
      <c r="B221" t="s">
        <v>481</v>
      </c>
      <c r="C221" t="s">
        <v>482</v>
      </c>
      <c r="D221">
        <v>88</v>
      </c>
      <c r="E221">
        <v>2</v>
      </c>
      <c r="F221" t="s">
        <v>94</v>
      </c>
      <c r="G221">
        <v>33547</v>
      </c>
      <c r="H221">
        <v>2</v>
      </c>
      <c r="I221">
        <v>4</v>
      </c>
      <c r="J221">
        <v>5</v>
      </c>
      <c r="K221" t="s">
        <v>16</v>
      </c>
      <c r="L221" t="s">
        <v>16</v>
      </c>
      <c r="M221" t="s">
        <v>16</v>
      </c>
    </row>
    <row r="222" spans="1:13" x14ac:dyDescent="0.2">
      <c r="A222">
        <v>4106</v>
      </c>
      <c r="B222" t="s">
        <v>483</v>
      </c>
      <c r="C222" t="s">
        <v>484</v>
      </c>
      <c r="D222">
        <v>279</v>
      </c>
      <c r="E222">
        <v>10</v>
      </c>
      <c r="F222" t="s">
        <v>67</v>
      </c>
      <c r="G222">
        <v>31595</v>
      </c>
      <c r="H222">
        <v>2</v>
      </c>
      <c r="I222">
        <v>5</v>
      </c>
      <c r="J222">
        <v>8</v>
      </c>
      <c r="K222" t="s">
        <v>17</v>
      </c>
      <c r="L222" t="s">
        <v>16</v>
      </c>
      <c r="M222" t="s">
        <v>17</v>
      </c>
    </row>
    <row r="223" spans="1:13" x14ac:dyDescent="0.2">
      <c r="A223">
        <v>5407</v>
      </c>
      <c r="B223" t="s">
        <v>485</v>
      </c>
      <c r="C223" t="s">
        <v>486</v>
      </c>
      <c r="D223">
        <v>69</v>
      </c>
      <c r="E223">
        <v>9</v>
      </c>
      <c r="F223" t="s">
        <v>37</v>
      </c>
      <c r="G223">
        <v>31662</v>
      </c>
      <c r="H223">
        <v>5</v>
      </c>
      <c r="I223">
        <v>3</v>
      </c>
      <c r="J223">
        <v>5</v>
      </c>
      <c r="K223" t="s">
        <v>17</v>
      </c>
      <c r="L223" t="s">
        <v>16</v>
      </c>
      <c r="M223" t="s">
        <v>17</v>
      </c>
    </row>
    <row r="224" spans="1:13" x14ac:dyDescent="0.2">
      <c r="A224">
        <v>3569</v>
      </c>
      <c r="B224" t="s">
        <v>487</v>
      </c>
      <c r="C224" t="s">
        <v>488</v>
      </c>
      <c r="D224">
        <v>54</v>
      </c>
      <c r="E224">
        <v>5</v>
      </c>
      <c r="F224" t="s">
        <v>164</v>
      </c>
      <c r="G224">
        <v>23974</v>
      </c>
      <c r="H224">
        <v>6</v>
      </c>
      <c r="I224">
        <v>3</v>
      </c>
      <c r="J224">
        <v>6</v>
      </c>
      <c r="K224" t="s">
        <v>16</v>
      </c>
      <c r="L224" t="s">
        <v>17</v>
      </c>
      <c r="M224" t="s">
        <v>17</v>
      </c>
    </row>
    <row r="225" spans="1:13" x14ac:dyDescent="0.2">
      <c r="A225">
        <v>3262</v>
      </c>
      <c r="B225" t="s">
        <v>489</v>
      </c>
      <c r="C225" t="s">
        <v>490</v>
      </c>
      <c r="D225">
        <v>40</v>
      </c>
      <c r="E225">
        <v>4</v>
      </c>
      <c r="F225" t="s">
        <v>82</v>
      </c>
      <c r="G225">
        <v>20416</v>
      </c>
      <c r="H225">
        <v>4</v>
      </c>
      <c r="I225">
        <v>5</v>
      </c>
      <c r="J225">
        <v>4</v>
      </c>
      <c r="K225" t="s">
        <v>16</v>
      </c>
      <c r="L225" t="s">
        <v>17</v>
      </c>
      <c r="M225" t="s">
        <v>16</v>
      </c>
    </row>
    <row r="226" spans="1:13" x14ac:dyDescent="0.2">
      <c r="A226">
        <v>4565</v>
      </c>
      <c r="B226" t="s">
        <v>491</v>
      </c>
      <c r="C226" t="s">
        <v>492</v>
      </c>
      <c r="D226">
        <v>47</v>
      </c>
      <c r="E226">
        <v>8</v>
      </c>
      <c r="F226" t="s">
        <v>34</v>
      </c>
      <c r="G226">
        <v>20918</v>
      </c>
      <c r="H226">
        <v>5</v>
      </c>
      <c r="I226">
        <v>5</v>
      </c>
      <c r="J226">
        <v>9</v>
      </c>
      <c r="K226" t="s">
        <v>17</v>
      </c>
      <c r="L226" t="s">
        <v>17</v>
      </c>
      <c r="M226" t="s">
        <v>17</v>
      </c>
    </row>
    <row r="227" spans="1:13" x14ac:dyDescent="0.2">
      <c r="A227">
        <v>4457</v>
      </c>
      <c r="B227" t="s">
        <v>493</v>
      </c>
      <c r="C227" t="s">
        <v>494</v>
      </c>
      <c r="D227">
        <v>69</v>
      </c>
      <c r="E227">
        <v>2</v>
      </c>
      <c r="F227" t="s">
        <v>246</v>
      </c>
      <c r="G227">
        <v>27121</v>
      </c>
      <c r="H227">
        <v>1</v>
      </c>
      <c r="I227">
        <v>1</v>
      </c>
      <c r="J227">
        <v>10</v>
      </c>
      <c r="K227" t="s">
        <v>16</v>
      </c>
      <c r="L227" t="s">
        <v>16</v>
      </c>
      <c r="M227" t="s">
        <v>17</v>
      </c>
    </row>
    <row r="228" spans="1:13" x14ac:dyDescent="0.2">
      <c r="A228">
        <v>4598</v>
      </c>
      <c r="B228" t="s">
        <v>495</v>
      </c>
      <c r="C228" t="s">
        <v>496</v>
      </c>
      <c r="D228">
        <v>145</v>
      </c>
      <c r="E228">
        <v>9</v>
      </c>
      <c r="F228" t="s">
        <v>58</v>
      </c>
      <c r="G228">
        <v>21470</v>
      </c>
      <c r="H228">
        <v>3</v>
      </c>
      <c r="I228">
        <v>1</v>
      </c>
      <c r="J228">
        <v>1</v>
      </c>
      <c r="K228" t="s">
        <v>16</v>
      </c>
      <c r="L228" t="s">
        <v>17</v>
      </c>
      <c r="M228" t="s">
        <v>16</v>
      </c>
    </row>
    <row r="229" spans="1:13" x14ac:dyDescent="0.2">
      <c r="A229">
        <v>2810</v>
      </c>
      <c r="B229" t="s">
        <v>497</v>
      </c>
      <c r="C229" t="s">
        <v>293</v>
      </c>
      <c r="D229">
        <v>153</v>
      </c>
      <c r="E229">
        <v>3</v>
      </c>
      <c r="F229" t="s">
        <v>34</v>
      </c>
      <c r="G229">
        <v>32740</v>
      </c>
      <c r="H229">
        <v>7</v>
      </c>
      <c r="I229">
        <v>2</v>
      </c>
      <c r="J229">
        <v>2</v>
      </c>
      <c r="K229" t="s">
        <v>17</v>
      </c>
      <c r="L229" t="s">
        <v>16</v>
      </c>
      <c r="M229" t="s">
        <v>16</v>
      </c>
    </row>
    <row r="230" spans="1:13" x14ac:dyDescent="0.2">
      <c r="A230">
        <v>4801</v>
      </c>
      <c r="B230" t="s">
        <v>498</v>
      </c>
      <c r="C230" t="s">
        <v>331</v>
      </c>
      <c r="D230">
        <v>231</v>
      </c>
      <c r="E230">
        <v>3</v>
      </c>
      <c r="F230" t="s">
        <v>73</v>
      </c>
      <c r="G230">
        <v>22439</v>
      </c>
      <c r="H230">
        <v>4</v>
      </c>
      <c r="I230">
        <v>1</v>
      </c>
      <c r="J230">
        <v>0</v>
      </c>
      <c r="K230" t="s">
        <v>16</v>
      </c>
      <c r="L230" t="s">
        <v>17</v>
      </c>
      <c r="M230" t="s">
        <v>16</v>
      </c>
    </row>
    <row r="231" spans="1:13" x14ac:dyDescent="0.2">
      <c r="A231">
        <v>5575</v>
      </c>
      <c r="B231" t="s">
        <v>499</v>
      </c>
      <c r="C231" t="s">
        <v>500</v>
      </c>
      <c r="D231">
        <v>142</v>
      </c>
      <c r="E231">
        <v>4</v>
      </c>
      <c r="F231" t="s">
        <v>20</v>
      </c>
      <c r="G231">
        <v>21389</v>
      </c>
      <c r="H231">
        <v>6</v>
      </c>
      <c r="I231">
        <v>2</v>
      </c>
      <c r="J231">
        <v>1</v>
      </c>
      <c r="K231" t="s">
        <v>17</v>
      </c>
      <c r="L231" t="s">
        <v>17</v>
      </c>
      <c r="M231" t="s">
        <v>16</v>
      </c>
    </row>
    <row r="232" spans="1:13" x14ac:dyDescent="0.2">
      <c r="A232">
        <v>3239</v>
      </c>
      <c r="B232" t="s">
        <v>501</v>
      </c>
      <c r="C232" t="s">
        <v>502</v>
      </c>
      <c r="D232">
        <v>54</v>
      </c>
      <c r="E232">
        <v>9</v>
      </c>
      <c r="F232" t="s">
        <v>53</v>
      </c>
      <c r="G232">
        <v>24432</v>
      </c>
      <c r="H232">
        <v>7</v>
      </c>
      <c r="I232">
        <v>5</v>
      </c>
      <c r="J232">
        <v>2</v>
      </c>
      <c r="K232" t="s">
        <v>16</v>
      </c>
      <c r="L232" t="s">
        <v>16</v>
      </c>
      <c r="M232" t="s">
        <v>16</v>
      </c>
    </row>
    <row r="233" spans="1:13" x14ac:dyDescent="0.2">
      <c r="A233">
        <v>5308</v>
      </c>
      <c r="B233" t="s">
        <v>503</v>
      </c>
      <c r="C233" t="s">
        <v>504</v>
      </c>
      <c r="D233">
        <v>169</v>
      </c>
      <c r="E233">
        <v>7</v>
      </c>
      <c r="F233" t="s">
        <v>63</v>
      </c>
      <c r="G233">
        <v>25294</v>
      </c>
      <c r="H233">
        <v>3</v>
      </c>
      <c r="I233">
        <v>3</v>
      </c>
      <c r="J233">
        <v>3</v>
      </c>
      <c r="K233" t="s">
        <v>16</v>
      </c>
      <c r="L233" t="s">
        <v>16</v>
      </c>
      <c r="M233" t="s">
        <v>17</v>
      </c>
    </row>
    <row r="234" spans="1:13" x14ac:dyDescent="0.2">
      <c r="A234">
        <v>3660</v>
      </c>
      <c r="B234" t="s">
        <v>505</v>
      </c>
      <c r="C234" t="s">
        <v>506</v>
      </c>
      <c r="D234">
        <v>280</v>
      </c>
      <c r="E234">
        <v>3</v>
      </c>
      <c r="F234" t="s">
        <v>130</v>
      </c>
      <c r="G234">
        <v>27110</v>
      </c>
      <c r="H234">
        <v>7</v>
      </c>
      <c r="I234">
        <v>2</v>
      </c>
      <c r="J234">
        <v>8</v>
      </c>
      <c r="K234" t="s">
        <v>16</v>
      </c>
      <c r="L234" t="s">
        <v>17</v>
      </c>
      <c r="M234" t="s">
        <v>16</v>
      </c>
    </row>
    <row r="235" spans="1:13" x14ac:dyDescent="0.2">
      <c r="A235">
        <v>3312</v>
      </c>
      <c r="B235" t="s">
        <v>507</v>
      </c>
      <c r="C235" t="s">
        <v>508</v>
      </c>
      <c r="D235">
        <v>95</v>
      </c>
      <c r="E235">
        <v>2</v>
      </c>
      <c r="F235" t="s">
        <v>26</v>
      </c>
      <c r="G235">
        <v>22569</v>
      </c>
      <c r="H235">
        <v>5</v>
      </c>
      <c r="I235">
        <v>4</v>
      </c>
      <c r="J235">
        <v>5</v>
      </c>
      <c r="K235" t="s">
        <v>16</v>
      </c>
      <c r="L235" t="s">
        <v>16</v>
      </c>
      <c r="M235" t="s">
        <v>17</v>
      </c>
    </row>
    <row r="236" spans="1:13" x14ac:dyDescent="0.2">
      <c r="A236">
        <v>5402</v>
      </c>
      <c r="B236" t="s">
        <v>509</v>
      </c>
      <c r="C236" t="s">
        <v>510</v>
      </c>
      <c r="D236">
        <v>186</v>
      </c>
      <c r="E236">
        <v>8</v>
      </c>
      <c r="F236" t="s">
        <v>70</v>
      </c>
      <c r="G236">
        <v>33966</v>
      </c>
      <c r="H236">
        <v>2</v>
      </c>
      <c r="I236">
        <v>4</v>
      </c>
      <c r="J236">
        <v>5</v>
      </c>
      <c r="K236" t="s">
        <v>17</v>
      </c>
      <c r="L236" t="s">
        <v>16</v>
      </c>
      <c r="M236" t="s">
        <v>17</v>
      </c>
    </row>
    <row r="237" spans="1:13" x14ac:dyDescent="0.2">
      <c r="A237">
        <v>4067</v>
      </c>
      <c r="B237" t="s">
        <v>511</v>
      </c>
      <c r="C237" t="s">
        <v>472</v>
      </c>
      <c r="D237">
        <v>271</v>
      </c>
      <c r="E237">
        <v>3</v>
      </c>
      <c r="F237" t="s">
        <v>53</v>
      </c>
      <c r="G237">
        <v>30087</v>
      </c>
      <c r="H237">
        <v>6</v>
      </c>
      <c r="I237">
        <v>3</v>
      </c>
      <c r="J237">
        <v>0</v>
      </c>
      <c r="K237" t="s">
        <v>17</v>
      </c>
      <c r="L237" t="s">
        <v>17</v>
      </c>
      <c r="M237" t="s">
        <v>17</v>
      </c>
    </row>
    <row r="238" spans="1:13" x14ac:dyDescent="0.2">
      <c r="A238">
        <v>5253</v>
      </c>
      <c r="B238" t="s">
        <v>512</v>
      </c>
      <c r="C238" t="s">
        <v>513</v>
      </c>
      <c r="D238">
        <v>185</v>
      </c>
      <c r="E238">
        <v>7</v>
      </c>
      <c r="F238" t="s">
        <v>127</v>
      </c>
      <c r="G238">
        <v>30702</v>
      </c>
      <c r="H238">
        <v>4</v>
      </c>
      <c r="I238">
        <v>1</v>
      </c>
      <c r="J238">
        <v>4</v>
      </c>
      <c r="K238" t="s">
        <v>16</v>
      </c>
      <c r="L238" t="s">
        <v>16</v>
      </c>
      <c r="M238" t="s">
        <v>16</v>
      </c>
    </row>
    <row r="239" spans="1:13" x14ac:dyDescent="0.2">
      <c r="A239">
        <v>4412</v>
      </c>
      <c r="B239" t="s">
        <v>514</v>
      </c>
      <c r="C239" t="s">
        <v>515</v>
      </c>
      <c r="D239">
        <v>184</v>
      </c>
      <c r="E239">
        <v>8</v>
      </c>
      <c r="F239" t="s">
        <v>189</v>
      </c>
      <c r="G239">
        <v>31129</v>
      </c>
      <c r="H239">
        <v>4</v>
      </c>
      <c r="I239">
        <v>1</v>
      </c>
      <c r="J239">
        <v>3</v>
      </c>
      <c r="K239" t="s">
        <v>16</v>
      </c>
      <c r="L239" t="s">
        <v>17</v>
      </c>
      <c r="M239" t="s">
        <v>17</v>
      </c>
    </row>
    <row r="240" spans="1:13" x14ac:dyDescent="0.2">
      <c r="A240">
        <v>3911</v>
      </c>
      <c r="B240" t="s">
        <v>516</v>
      </c>
      <c r="C240" t="s">
        <v>517</v>
      </c>
      <c r="D240">
        <v>45</v>
      </c>
      <c r="E240">
        <v>6</v>
      </c>
      <c r="F240" t="s">
        <v>34</v>
      </c>
      <c r="G240">
        <v>33093</v>
      </c>
      <c r="H240">
        <v>6</v>
      </c>
      <c r="I240">
        <v>1</v>
      </c>
      <c r="J240">
        <v>9</v>
      </c>
      <c r="K240" t="s">
        <v>16</v>
      </c>
      <c r="L240" t="s">
        <v>16</v>
      </c>
      <c r="M240" t="s">
        <v>16</v>
      </c>
    </row>
    <row r="241" spans="1:13" x14ac:dyDescent="0.2">
      <c r="A241">
        <v>3924</v>
      </c>
      <c r="B241" t="s">
        <v>518</v>
      </c>
      <c r="C241" t="s">
        <v>519</v>
      </c>
      <c r="D241">
        <v>169</v>
      </c>
      <c r="E241">
        <v>3</v>
      </c>
      <c r="F241" t="s">
        <v>164</v>
      </c>
      <c r="G241">
        <v>25474</v>
      </c>
      <c r="H241">
        <v>7</v>
      </c>
      <c r="I241">
        <v>2</v>
      </c>
      <c r="J241">
        <v>8</v>
      </c>
      <c r="K241" t="s">
        <v>16</v>
      </c>
      <c r="L241" t="s">
        <v>16</v>
      </c>
      <c r="M241" t="s">
        <v>16</v>
      </c>
    </row>
    <row r="242" spans="1:13" x14ac:dyDescent="0.2">
      <c r="A242">
        <v>5584</v>
      </c>
      <c r="B242" t="s">
        <v>520</v>
      </c>
      <c r="C242" t="s">
        <v>521</v>
      </c>
      <c r="D242">
        <v>201</v>
      </c>
      <c r="E242">
        <v>4</v>
      </c>
      <c r="F242" t="s">
        <v>91</v>
      </c>
      <c r="G242">
        <v>31609</v>
      </c>
      <c r="H242">
        <v>4</v>
      </c>
      <c r="I242">
        <v>3</v>
      </c>
      <c r="J242">
        <v>4</v>
      </c>
      <c r="K242" t="s">
        <v>16</v>
      </c>
      <c r="L242" t="s">
        <v>16</v>
      </c>
      <c r="M242" t="s">
        <v>17</v>
      </c>
    </row>
    <row r="243" spans="1:13" x14ac:dyDescent="0.2">
      <c r="A243">
        <v>5284</v>
      </c>
      <c r="B243" t="s">
        <v>522</v>
      </c>
      <c r="C243" t="s">
        <v>523</v>
      </c>
      <c r="D243">
        <v>175</v>
      </c>
      <c r="E243">
        <v>6</v>
      </c>
      <c r="F243" t="s">
        <v>124</v>
      </c>
      <c r="G243">
        <v>27371</v>
      </c>
      <c r="H243">
        <v>6</v>
      </c>
      <c r="I243">
        <v>2</v>
      </c>
      <c r="J243">
        <v>9</v>
      </c>
      <c r="K243" t="s">
        <v>16</v>
      </c>
      <c r="L243" t="s">
        <v>16</v>
      </c>
      <c r="M243" t="s">
        <v>17</v>
      </c>
    </row>
    <row r="244" spans="1:13" x14ac:dyDescent="0.2">
      <c r="A244">
        <v>2521</v>
      </c>
      <c r="B244" t="s">
        <v>524</v>
      </c>
      <c r="C244" t="s">
        <v>525</v>
      </c>
      <c r="D244">
        <v>263</v>
      </c>
      <c r="E244">
        <v>9</v>
      </c>
      <c r="F244" t="s">
        <v>130</v>
      </c>
      <c r="G244">
        <v>22719</v>
      </c>
      <c r="H244">
        <v>2</v>
      </c>
      <c r="I244">
        <v>5</v>
      </c>
      <c r="J244">
        <v>4</v>
      </c>
      <c r="K244" t="s">
        <v>17</v>
      </c>
      <c r="L244" t="s">
        <v>17</v>
      </c>
      <c r="M244" t="s">
        <v>17</v>
      </c>
    </row>
    <row r="245" spans="1:13" x14ac:dyDescent="0.2">
      <c r="A245">
        <v>5305</v>
      </c>
      <c r="B245" t="s">
        <v>526</v>
      </c>
      <c r="C245" t="s">
        <v>527</v>
      </c>
      <c r="D245">
        <v>126</v>
      </c>
      <c r="E245">
        <v>3</v>
      </c>
      <c r="F245" t="s">
        <v>70</v>
      </c>
      <c r="G245">
        <v>21336</v>
      </c>
      <c r="H245">
        <v>6</v>
      </c>
      <c r="I245">
        <v>3</v>
      </c>
      <c r="J245">
        <v>5</v>
      </c>
      <c r="K245" t="s">
        <v>17</v>
      </c>
      <c r="L245" t="s">
        <v>17</v>
      </c>
      <c r="M245" t="s">
        <v>17</v>
      </c>
    </row>
    <row r="246" spans="1:13" x14ac:dyDescent="0.2">
      <c r="A246">
        <v>2468</v>
      </c>
      <c r="B246" t="s">
        <v>528</v>
      </c>
      <c r="C246" t="s">
        <v>529</v>
      </c>
      <c r="D246">
        <v>71</v>
      </c>
      <c r="E246">
        <v>1</v>
      </c>
      <c r="F246" t="s">
        <v>147</v>
      </c>
      <c r="G246">
        <v>32079</v>
      </c>
      <c r="H246">
        <v>6</v>
      </c>
      <c r="I246">
        <v>1</v>
      </c>
      <c r="J246">
        <v>6</v>
      </c>
      <c r="K246" t="s">
        <v>17</v>
      </c>
      <c r="L246" t="s">
        <v>16</v>
      </c>
      <c r="M246" t="s">
        <v>17</v>
      </c>
    </row>
    <row r="247" spans="1:13" x14ac:dyDescent="0.2">
      <c r="A247">
        <v>4753</v>
      </c>
      <c r="B247" t="s">
        <v>530</v>
      </c>
      <c r="C247" t="s">
        <v>531</v>
      </c>
      <c r="D247">
        <v>283</v>
      </c>
      <c r="E247">
        <v>8</v>
      </c>
      <c r="F247" t="s">
        <v>147</v>
      </c>
      <c r="G247">
        <v>23107</v>
      </c>
      <c r="H247">
        <v>3</v>
      </c>
      <c r="I247">
        <v>2</v>
      </c>
      <c r="J247">
        <v>3</v>
      </c>
      <c r="K247" t="s">
        <v>16</v>
      </c>
      <c r="L247" t="s">
        <v>16</v>
      </c>
      <c r="M247" t="s">
        <v>17</v>
      </c>
    </row>
    <row r="248" spans="1:13" x14ac:dyDescent="0.2">
      <c r="A248">
        <v>2722</v>
      </c>
      <c r="B248" t="s">
        <v>532</v>
      </c>
      <c r="C248" t="s">
        <v>236</v>
      </c>
      <c r="D248">
        <v>122</v>
      </c>
      <c r="E248">
        <v>2</v>
      </c>
      <c r="F248" t="s">
        <v>124</v>
      </c>
      <c r="G248">
        <v>28383</v>
      </c>
      <c r="H248">
        <v>7</v>
      </c>
      <c r="I248">
        <v>4</v>
      </c>
      <c r="J248">
        <v>9</v>
      </c>
      <c r="K248" t="s">
        <v>17</v>
      </c>
      <c r="L248" t="s">
        <v>16</v>
      </c>
      <c r="M248" t="s">
        <v>17</v>
      </c>
    </row>
    <row r="249" spans="1:13" x14ac:dyDescent="0.2">
      <c r="A249">
        <v>4717</v>
      </c>
      <c r="B249" t="s">
        <v>533</v>
      </c>
      <c r="C249" t="s">
        <v>534</v>
      </c>
      <c r="D249">
        <v>139</v>
      </c>
      <c r="E249">
        <v>2</v>
      </c>
      <c r="F249" t="s">
        <v>73</v>
      </c>
      <c r="G249">
        <v>21572</v>
      </c>
      <c r="H249">
        <v>1</v>
      </c>
      <c r="I249">
        <v>4</v>
      </c>
      <c r="J249">
        <v>1</v>
      </c>
      <c r="K249" t="s">
        <v>17</v>
      </c>
      <c r="L249" t="s">
        <v>16</v>
      </c>
      <c r="M249" t="s">
        <v>17</v>
      </c>
    </row>
    <row r="250" spans="1:13" x14ac:dyDescent="0.2">
      <c r="A250">
        <v>3640</v>
      </c>
      <c r="B250" t="s">
        <v>535</v>
      </c>
      <c r="C250" t="s">
        <v>536</v>
      </c>
      <c r="D250">
        <v>255</v>
      </c>
      <c r="E250">
        <v>9</v>
      </c>
      <c r="F250" t="s">
        <v>20</v>
      </c>
      <c r="G250">
        <v>23485</v>
      </c>
      <c r="H250">
        <v>4</v>
      </c>
      <c r="I250">
        <v>2</v>
      </c>
      <c r="J250">
        <v>6</v>
      </c>
      <c r="K250" t="s">
        <v>16</v>
      </c>
      <c r="L250" t="s">
        <v>16</v>
      </c>
      <c r="M250" t="s">
        <v>16</v>
      </c>
    </row>
    <row r="251" spans="1:13" x14ac:dyDescent="0.2">
      <c r="A251">
        <v>3083</v>
      </c>
      <c r="B251" t="s">
        <v>537</v>
      </c>
      <c r="C251" t="s">
        <v>538</v>
      </c>
      <c r="D251">
        <v>129</v>
      </c>
      <c r="E251">
        <v>1</v>
      </c>
      <c r="F251" t="s">
        <v>67</v>
      </c>
      <c r="G251">
        <v>20849</v>
      </c>
      <c r="H251">
        <v>6</v>
      </c>
      <c r="I251">
        <v>4</v>
      </c>
      <c r="J251">
        <v>9</v>
      </c>
      <c r="K251" t="s">
        <v>16</v>
      </c>
      <c r="L251" t="s">
        <v>16</v>
      </c>
      <c r="M251" t="s">
        <v>16</v>
      </c>
    </row>
    <row r="252" spans="1:13" x14ac:dyDescent="0.2">
      <c r="A252">
        <v>3011</v>
      </c>
      <c r="B252" t="s">
        <v>539</v>
      </c>
      <c r="C252" t="s">
        <v>540</v>
      </c>
      <c r="D252">
        <v>222</v>
      </c>
      <c r="E252">
        <v>7</v>
      </c>
      <c r="F252" t="s">
        <v>147</v>
      </c>
      <c r="G252">
        <v>32425</v>
      </c>
      <c r="H252">
        <v>5</v>
      </c>
      <c r="I252">
        <v>3</v>
      </c>
      <c r="J252">
        <v>6</v>
      </c>
      <c r="K252" t="s">
        <v>16</v>
      </c>
      <c r="L252" t="s">
        <v>17</v>
      </c>
      <c r="M252" t="s">
        <v>16</v>
      </c>
    </row>
    <row r="253" spans="1:13" x14ac:dyDescent="0.2">
      <c r="A253">
        <v>2312</v>
      </c>
      <c r="B253" t="s">
        <v>541</v>
      </c>
      <c r="C253" t="s">
        <v>542</v>
      </c>
      <c r="D253">
        <v>160</v>
      </c>
      <c r="E253">
        <v>6</v>
      </c>
      <c r="F253" t="s">
        <v>58</v>
      </c>
      <c r="G253">
        <v>29969</v>
      </c>
      <c r="H253">
        <v>1</v>
      </c>
      <c r="I253">
        <v>1</v>
      </c>
      <c r="J253">
        <v>4</v>
      </c>
      <c r="K253" t="s">
        <v>16</v>
      </c>
      <c r="L253" t="s">
        <v>17</v>
      </c>
      <c r="M253" t="s">
        <v>16</v>
      </c>
    </row>
    <row r="254" spans="1:13" x14ac:dyDescent="0.2">
      <c r="A254">
        <v>3413</v>
      </c>
      <c r="B254" t="s">
        <v>543</v>
      </c>
      <c r="C254" t="s">
        <v>544</v>
      </c>
      <c r="D254">
        <v>277</v>
      </c>
      <c r="E254">
        <v>3</v>
      </c>
      <c r="F254" t="s">
        <v>189</v>
      </c>
      <c r="G254">
        <v>27344</v>
      </c>
      <c r="H254">
        <v>3</v>
      </c>
      <c r="I254">
        <v>4</v>
      </c>
      <c r="J254">
        <v>4</v>
      </c>
      <c r="K254" t="s">
        <v>16</v>
      </c>
      <c r="L254" t="s">
        <v>17</v>
      </c>
      <c r="M254" t="s">
        <v>17</v>
      </c>
    </row>
    <row r="255" spans="1:13" x14ac:dyDescent="0.2">
      <c r="A255">
        <v>2582</v>
      </c>
      <c r="B255" t="s">
        <v>545</v>
      </c>
      <c r="C255" t="s">
        <v>546</v>
      </c>
      <c r="D255">
        <v>300</v>
      </c>
      <c r="E255">
        <v>6</v>
      </c>
      <c r="F255" t="s">
        <v>184</v>
      </c>
      <c r="G255">
        <v>21412</v>
      </c>
      <c r="H255">
        <v>6</v>
      </c>
      <c r="I255">
        <v>4</v>
      </c>
      <c r="J255">
        <v>9</v>
      </c>
      <c r="K255" t="s">
        <v>17</v>
      </c>
      <c r="L255" t="s">
        <v>16</v>
      </c>
      <c r="M255" t="s">
        <v>16</v>
      </c>
    </row>
    <row r="256" spans="1:13" x14ac:dyDescent="0.2">
      <c r="A256">
        <v>3561</v>
      </c>
      <c r="B256" t="s">
        <v>547</v>
      </c>
      <c r="C256" t="s">
        <v>548</v>
      </c>
      <c r="D256">
        <v>64</v>
      </c>
      <c r="E256">
        <v>6</v>
      </c>
      <c r="F256" t="s">
        <v>45</v>
      </c>
      <c r="G256">
        <v>34630</v>
      </c>
      <c r="H256">
        <v>7</v>
      </c>
      <c r="I256">
        <v>1</v>
      </c>
      <c r="J256">
        <v>8</v>
      </c>
      <c r="K256" t="s">
        <v>16</v>
      </c>
      <c r="L256" t="s">
        <v>17</v>
      </c>
      <c r="M256" t="s">
        <v>16</v>
      </c>
    </row>
    <row r="257" spans="1:13" x14ac:dyDescent="0.2">
      <c r="A257">
        <v>3133</v>
      </c>
      <c r="B257" t="s">
        <v>549</v>
      </c>
      <c r="C257" t="s">
        <v>550</v>
      </c>
      <c r="D257">
        <v>67</v>
      </c>
      <c r="E257">
        <v>3</v>
      </c>
      <c r="F257" t="s">
        <v>189</v>
      </c>
      <c r="G257">
        <v>23159</v>
      </c>
      <c r="H257">
        <v>7</v>
      </c>
      <c r="I257">
        <v>5</v>
      </c>
      <c r="J257">
        <v>8</v>
      </c>
      <c r="K257" t="s">
        <v>17</v>
      </c>
      <c r="L257" t="s">
        <v>17</v>
      </c>
      <c r="M257" t="s">
        <v>17</v>
      </c>
    </row>
    <row r="258" spans="1:13" x14ac:dyDescent="0.2">
      <c r="A258">
        <v>4080</v>
      </c>
      <c r="B258" t="s">
        <v>551</v>
      </c>
      <c r="C258" t="s">
        <v>552</v>
      </c>
      <c r="D258">
        <v>237</v>
      </c>
      <c r="E258">
        <v>8</v>
      </c>
      <c r="F258" t="s">
        <v>53</v>
      </c>
      <c r="G258">
        <v>24077</v>
      </c>
      <c r="H258">
        <v>2</v>
      </c>
      <c r="I258">
        <v>4</v>
      </c>
      <c r="J258">
        <v>1</v>
      </c>
      <c r="K258" t="s">
        <v>17</v>
      </c>
      <c r="L258" t="s">
        <v>16</v>
      </c>
      <c r="M258" t="s">
        <v>17</v>
      </c>
    </row>
    <row r="259" spans="1:13" x14ac:dyDescent="0.2">
      <c r="A259">
        <v>2680</v>
      </c>
      <c r="B259" t="s">
        <v>553</v>
      </c>
      <c r="C259" t="s">
        <v>554</v>
      </c>
      <c r="D259">
        <v>167</v>
      </c>
      <c r="E259">
        <v>10</v>
      </c>
      <c r="F259" t="s">
        <v>127</v>
      </c>
      <c r="G259">
        <v>34517</v>
      </c>
      <c r="H259">
        <v>3</v>
      </c>
      <c r="I259">
        <v>1</v>
      </c>
      <c r="J259">
        <v>6</v>
      </c>
      <c r="K259" t="s">
        <v>17</v>
      </c>
      <c r="L259" t="s">
        <v>16</v>
      </c>
      <c r="M259" t="s">
        <v>17</v>
      </c>
    </row>
    <row r="260" spans="1:13" x14ac:dyDescent="0.2">
      <c r="A260">
        <v>3823</v>
      </c>
      <c r="B260" t="s">
        <v>555</v>
      </c>
      <c r="C260" t="s">
        <v>556</v>
      </c>
      <c r="D260">
        <v>128</v>
      </c>
      <c r="E260">
        <v>3</v>
      </c>
      <c r="F260" t="s">
        <v>20</v>
      </c>
      <c r="G260">
        <v>23835</v>
      </c>
      <c r="H260">
        <v>5</v>
      </c>
      <c r="I260">
        <v>5</v>
      </c>
      <c r="J260">
        <v>3</v>
      </c>
      <c r="K260" t="s">
        <v>16</v>
      </c>
      <c r="L260" t="s">
        <v>16</v>
      </c>
      <c r="M260" t="s">
        <v>17</v>
      </c>
    </row>
    <row r="261" spans="1:13" x14ac:dyDescent="0.2">
      <c r="A261">
        <v>3658</v>
      </c>
      <c r="B261" t="s">
        <v>557</v>
      </c>
      <c r="C261" t="s">
        <v>558</v>
      </c>
      <c r="D261">
        <v>75</v>
      </c>
      <c r="E261">
        <v>7</v>
      </c>
      <c r="F261" t="s">
        <v>48</v>
      </c>
      <c r="G261">
        <v>27164</v>
      </c>
      <c r="H261">
        <v>4</v>
      </c>
      <c r="I261">
        <v>4</v>
      </c>
      <c r="J261">
        <v>2</v>
      </c>
      <c r="K261" t="s">
        <v>17</v>
      </c>
      <c r="L261" t="s">
        <v>16</v>
      </c>
      <c r="M261" t="s">
        <v>16</v>
      </c>
    </row>
    <row r="262" spans="1:13" x14ac:dyDescent="0.2">
      <c r="A262">
        <v>4246</v>
      </c>
      <c r="B262" t="s">
        <v>559</v>
      </c>
      <c r="C262" t="s">
        <v>560</v>
      </c>
      <c r="D262">
        <v>198</v>
      </c>
      <c r="E262">
        <v>1</v>
      </c>
      <c r="F262" t="s">
        <v>40</v>
      </c>
      <c r="G262">
        <v>23506</v>
      </c>
      <c r="H262">
        <v>4</v>
      </c>
      <c r="I262">
        <v>2</v>
      </c>
      <c r="J262">
        <v>4</v>
      </c>
      <c r="K262" t="s">
        <v>16</v>
      </c>
      <c r="L262" t="s">
        <v>16</v>
      </c>
      <c r="M262" t="s">
        <v>17</v>
      </c>
    </row>
    <row r="263" spans="1:13" x14ac:dyDescent="0.2">
      <c r="A263">
        <v>2388</v>
      </c>
      <c r="B263" t="s">
        <v>561</v>
      </c>
      <c r="C263" t="s">
        <v>562</v>
      </c>
      <c r="D263">
        <v>23</v>
      </c>
      <c r="E263">
        <v>1</v>
      </c>
      <c r="F263" t="s">
        <v>40</v>
      </c>
      <c r="G263">
        <v>27363</v>
      </c>
      <c r="H263">
        <v>1</v>
      </c>
      <c r="I263">
        <v>1</v>
      </c>
      <c r="J263">
        <v>7</v>
      </c>
      <c r="K263" t="s">
        <v>16</v>
      </c>
      <c r="L263" t="s">
        <v>17</v>
      </c>
      <c r="M263" t="s">
        <v>16</v>
      </c>
    </row>
    <row r="264" spans="1:13" x14ac:dyDescent="0.2">
      <c r="A264">
        <v>2918</v>
      </c>
      <c r="B264" t="s">
        <v>563</v>
      </c>
      <c r="C264" t="s">
        <v>564</v>
      </c>
      <c r="D264">
        <v>208</v>
      </c>
      <c r="E264">
        <v>8</v>
      </c>
      <c r="F264" t="s">
        <v>15</v>
      </c>
      <c r="G264">
        <v>29792</v>
      </c>
      <c r="H264">
        <v>5</v>
      </c>
      <c r="I264">
        <v>2</v>
      </c>
      <c r="J264">
        <v>2</v>
      </c>
      <c r="K264" t="s">
        <v>17</v>
      </c>
      <c r="L264" t="s">
        <v>16</v>
      </c>
      <c r="M264" t="s">
        <v>16</v>
      </c>
    </row>
    <row r="265" spans="1:13" x14ac:dyDescent="0.2">
      <c r="A265">
        <v>2631</v>
      </c>
      <c r="B265" t="s">
        <v>565</v>
      </c>
      <c r="C265" t="s">
        <v>566</v>
      </c>
      <c r="D265">
        <v>245</v>
      </c>
      <c r="E265">
        <v>9</v>
      </c>
      <c r="F265" t="s">
        <v>137</v>
      </c>
      <c r="G265">
        <v>27960</v>
      </c>
      <c r="H265">
        <v>3</v>
      </c>
      <c r="I265">
        <v>5</v>
      </c>
      <c r="J265">
        <v>0</v>
      </c>
      <c r="K265" t="s">
        <v>17</v>
      </c>
      <c r="L265" t="s">
        <v>17</v>
      </c>
      <c r="M265" t="s">
        <v>17</v>
      </c>
    </row>
    <row r="266" spans="1:13" x14ac:dyDescent="0.2">
      <c r="A266">
        <v>4865</v>
      </c>
      <c r="B266" t="s">
        <v>567</v>
      </c>
      <c r="C266" t="s">
        <v>568</v>
      </c>
      <c r="D266">
        <v>99</v>
      </c>
      <c r="E266">
        <v>2</v>
      </c>
      <c r="F266" t="s">
        <v>29</v>
      </c>
      <c r="G266">
        <v>30006</v>
      </c>
      <c r="H266">
        <v>2</v>
      </c>
      <c r="I266">
        <v>2</v>
      </c>
      <c r="J266">
        <v>4</v>
      </c>
      <c r="K266" t="s">
        <v>17</v>
      </c>
      <c r="L266" t="s">
        <v>17</v>
      </c>
      <c r="M266" t="s">
        <v>16</v>
      </c>
    </row>
    <row r="267" spans="1:13" x14ac:dyDescent="0.2">
      <c r="A267">
        <v>2498</v>
      </c>
      <c r="B267" t="s">
        <v>569</v>
      </c>
      <c r="C267" t="s">
        <v>570</v>
      </c>
      <c r="D267">
        <v>173</v>
      </c>
      <c r="E267">
        <v>10</v>
      </c>
      <c r="F267" t="s">
        <v>127</v>
      </c>
      <c r="G267">
        <v>23963</v>
      </c>
      <c r="H267">
        <v>4</v>
      </c>
      <c r="I267">
        <v>5</v>
      </c>
      <c r="J267">
        <v>10</v>
      </c>
      <c r="K267" t="s">
        <v>17</v>
      </c>
      <c r="L267" t="s">
        <v>17</v>
      </c>
      <c r="M267" t="s">
        <v>17</v>
      </c>
    </row>
    <row r="268" spans="1:13" x14ac:dyDescent="0.2">
      <c r="A268">
        <v>4483</v>
      </c>
      <c r="B268" t="s">
        <v>571</v>
      </c>
      <c r="C268" t="s">
        <v>572</v>
      </c>
      <c r="D268">
        <v>20</v>
      </c>
      <c r="E268">
        <v>1</v>
      </c>
      <c r="F268" t="s">
        <v>127</v>
      </c>
      <c r="G268">
        <v>30109</v>
      </c>
      <c r="H268">
        <v>3</v>
      </c>
      <c r="I268">
        <v>3</v>
      </c>
      <c r="J268">
        <v>7</v>
      </c>
      <c r="K268" t="s">
        <v>17</v>
      </c>
      <c r="L268" t="s">
        <v>16</v>
      </c>
      <c r="M268" t="s">
        <v>16</v>
      </c>
    </row>
    <row r="269" spans="1:13" x14ac:dyDescent="0.2">
      <c r="A269">
        <v>4439</v>
      </c>
      <c r="B269" t="s">
        <v>573</v>
      </c>
      <c r="C269" t="s">
        <v>574</v>
      </c>
      <c r="D269">
        <v>189</v>
      </c>
      <c r="E269">
        <v>4</v>
      </c>
      <c r="F269" t="s">
        <v>194</v>
      </c>
      <c r="G269">
        <v>26803</v>
      </c>
      <c r="H269">
        <v>3</v>
      </c>
      <c r="I269">
        <v>5</v>
      </c>
      <c r="J269">
        <v>7</v>
      </c>
      <c r="K269" t="s">
        <v>17</v>
      </c>
      <c r="L269" t="s">
        <v>17</v>
      </c>
      <c r="M269" t="s">
        <v>17</v>
      </c>
    </row>
    <row r="270" spans="1:13" x14ac:dyDescent="0.2">
      <c r="A270">
        <v>3005</v>
      </c>
      <c r="B270" t="s">
        <v>575</v>
      </c>
      <c r="C270" t="s">
        <v>576</v>
      </c>
      <c r="D270">
        <v>218</v>
      </c>
      <c r="E270">
        <v>10</v>
      </c>
      <c r="F270" t="s">
        <v>45</v>
      </c>
      <c r="G270">
        <v>31771</v>
      </c>
      <c r="H270">
        <v>6</v>
      </c>
      <c r="I270">
        <v>5</v>
      </c>
      <c r="J270">
        <v>7</v>
      </c>
      <c r="K270" t="s">
        <v>17</v>
      </c>
      <c r="L270" t="s">
        <v>16</v>
      </c>
      <c r="M270" t="s">
        <v>17</v>
      </c>
    </row>
    <row r="271" spans="1:13" x14ac:dyDescent="0.2">
      <c r="A271">
        <v>3151</v>
      </c>
      <c r="B271" t="s">
        <v>577</v>
      </c>
      <c r="C271" t="s">
        <v>578</v>
      </c>
      <c r="D271">
        <v>295</v>
      </c>
      <c r="E271">
        <v>8</v>
      </c>
      <c r="F271" t="s">
        <v>246</v>
      </c>
      <c r="G271">
        <v>32044</v>
      </c>
      <c r="H271">
        <v>2</v>
      </c>
      <c r="I271">
        <v>2</v>
      </c>
      <c r="J271">
        <v>6</v>
      </c>
      <c r="K271" t="s">
        <v>17</v>
      </c>
      <c r="L271" t="s">
        <v>16</v>
      </c>
      <c r="M271" t="s">
        <v>16</v>
      </c>
    </row>
    <row r="272" spans="1:13" x14ac:dyDescent="0.2">
      <c r="A272">
        <v>3728</v>
      </c>
      <c r="B272" t="s">
        <v>579</v>
      </c>
      <c r="C272" t="s">
        <v>353</v>
      </c>
      <c r="D272">
        <v>27</v>
      </c>
      <c r="E272">
        <v>1</v>
      </c>
      <c r="F272" t="s">
        <v>40</v>
      </c>
      <c r="G272">
        <v>28661</v>
      </c>
      <c r="H272">
        <v>1</v>
      </c>
      <c r="I272">
        <v>1</v>
      </c>
      <c r="J272">
        <v>1</v>
      </c>
      <c r="K272" t="s">
        <v>16</v>
      </c>
      <c r="L272" t="s">
        <v>17</v>
      </c>
      <c r="M272" t="s">
        <v>16</v>
      </c>
    </row>
    <row r="273" spans="1:13" x14ac:dyDescent="0.2">
      <c r="A273">
        <v>2966</v>
      </c>
      <c r="B273" t="s">
        <v>580</v>
      </c>
      <c r="C273" t="s">
        <v>581</v>
      </c>
      <c r="D273">
        <v>152</v>
      </c>
      <c r="E273">
        <v>9</v>
      </c>
      <c r="F273" t="s">
        <v>291</v>
      </c>
      <c r="G273">
        <v>27245</v>
      </c>
      <c r="H273">
        <v>4</v>
      </c>
      <c r="I273">
        <v>2</v>
      </c>
      <c r="J273">
        <v>8</v>
      </c>
      <c r="K273" t="s">
        <v>16</v>
      </c>
      <c r="L273" t="s">
        <v>17</v>
      </c>
      <c r="M273" t="s">
        <v>16</v>
      </c>
    </row>
    <row r="274" spans="1:13" x14ac:dyDescent="0.2">
      <c r="A274">
        <v>4212</v>
      </c>
      <c r="B274" t="s">
        <v>582</v>
      </c>
      <c r="C274" t="s">
        <v>583</v>
      </c>
      <c r="D274">
        <v>210</v>
      </c>
      <c r="E274">
        <v>9</v>
      </c>
      <c r="F274" t="s">
        <v>45</v>
      </c>
      <c r="G274">
        <v>28866</v>
      </c>
      <c r="H274">
        <v>4</v>
      </c>
      <c r="I274">
        <v>4</v>
      </c>
      <c r="J274">
        <v>2</v>
      </c>
      <c r="K274" t="s">
        <v>16</v>
      </c>
      <c r="L274" t="s">
        <v>17</v>
      </c>
      <c r="M274" t="s">
        <v>17</v>
      </c>
    </row>
    <row r="275" spans="1:13" x14ac:dyDescent="0.2">
      <c r="A275">
        <v>5380</v>
      </c>
      <c r="B275" t="s">
        <v>584</v>
      </c>
      <c r="C275" t="s">
        <v>585</v>
      </c>
      <c r="D275">
        <v>230</v>
      </c>
      <c r="E275">
        <v>5</v>
      </c>
      <c r="F275" t="s">
        <v>23</v>
      </c>
      <c r="G275">
        <v>30050</v>
      </c>
      <c r="H275">
        <v>7</v>
      </c>
      <c r="I275">
        <v>3</v>
      </c>
      <c r="J275">
        <v>1</v>
      </c>
      <c r="K275" t="s">
        <v>16</v>
      </c>
      <c r="L275" t="s">
        <v>17</v>
      </c>
      <c r="M275" t="s">
        <v>16</v>
      </c>
    </row>
    <row r="276" spans="1:13" x14ac:dyDescent="0.2">
      <c r="A276">
        <v>2674</v>
      </c>
      <c r="B276" t="s">
        <v>586</v>
      </c>
      <c r="C276" t="s">
        <v>587</v>
      </c>
      <c r="D276">
        <v>257</v>
      </c>
      <c r="E276">
        <v>9</v>
      </c>
      <c r="F276" t="s">
        <v>76</v>
      </c>
      <c r="G276">
        <v>29807</v>
      </c>
      <c r="H276">
        <v>3</v>
      </c>
      <c r="I276">
        <v>3</v>
      </c>
      <c r="J276">
        <v>7</v>
      </c>
      <c r="K276" t="s">
        <v>17</v>
      </c>
      <c r="L276" t="s">
        <v>17</v>
      </c>
      <c r="M276" t="s">
        <v>16</v>
      </c>
    </row>
    <row r="277" spans="1:13" x14ac:dyDescent="0.2">
      <c r="A277">
        <v>5325</v>
      </c>
      <c r="B277" t="s">
        <v>588</v>
      </c>
      <c r="C277" t="s">
        <v>589</v>
      </c>
      <c r="D277">
        <v>44</v>
      </c>
      <c r="E277">
        <v>2</v>
      </c>
      <c r="F277" t="s">
        <v>23</v>
      </c>
      <c r="G277">
        <v>29382</v>
      </c>
      <c r="H277">
        <v>5</v>
      </c>
      <c r="I277">
        <v>3</v>
      </c>
      <c r="J277">
        <v>9</v>
      </c>
      <c r="K277" t="s">
        <v>16</v>
      </c>
      <c r="L277" t="s">
        <v>17</v>
      </c>
      <c r="M277" t="s">
        <v>16</v>
      </c>
    </row>
    <row r="278" spans="1:13" x14ac:dyDescent="0.2">
      <c r="A278">
        <v>3422</v>
      </c>
      <c r="B278" t="s">
        <v>590</v>
      </c>
      <c r="C278" t="s">
        <v>591</v>
      </c>
      <c r="D278">
        <v>35</v>
      </c>
      <c r="E278">
        <v>2</v>
      </c>
      <c r="F278" t="s">
        <v>189</v>
      </c>
      <c r="G278">
        <v>27103</v>
      </c>
      <c r="H278">
        <v>2</v>
      </c>
      <c r="I278">
        <v>4</v>
      </c>
      <c r="J278">
        <v>7</v>
      </c>
      <c r="K278" t="s">
        <v>16</v>
      </c>
      <c r="L278" t="s">
        <v>17</v>
      </c>
      <c r="M278" t="s">
        <v>16</v>
      </c>
    </row>
    <row r="279" spans="1:13" x14ac:dyDescent="0.2">
      <c r="A279">
        <v>4516</v>
      </c>
      <c r="B279" t="s">
        <v>592</v>
      </c>
      <c r="C279" t="s">
        <v>593</v>
      </c>
      <c r="D279">
        <v>264</v>
      </c>
      <c r="E279">
        <v>8</v>
      </c>
      <c r="F279" t="s">
        <v>194</v>
      </c>
      <c r="G279">
        <v>21820</v>
      </c>
      <c r="H279">
        <v>6</v>
      </c>
      <c r="I279">
        <v>4</v>
      </c>
      <c r="J279">
        <v>4</v>
      </c>
      <c r="K279" t="s">
        <v>17</v>
      </c>
      <c r="L279" t="s">
        <v>17</v>
      </c>
      <c r="M279" t="s">
        <v>16</v>
      </c>
    </row>
    <row r="280" spans="1:13" x14ac:dyDescent="0.2">
      <c r="A280">
        <v>3903</v>
      </c>
      <c r="B280" t="s">
        <v>594</v>
      </c>
      <c r="C280" t="s">
        <v>595</v>
      </c>
      <c r="D280">
        <v>70</v>
      </c>
      <c r="E280">
        <v>9</v>
      </c>
      <c r="F280" t="s">
        <v>246</v>
      </c>
      <c r="G280">
        <v>27535</v>
      </c>
      <c r="H280">
        <v>1</v>
      </c>
      <c r="I280">
        <v>2</v>
      </c>
      <c r="J280">
        <v>9</v>
      </c>
      <c r="K280" t="s">
        <v>17</v>
      </c>
      <c r="L280" t="s">
        <v>16</v>
      </c>
      <c r="M280" t="s">
        <v>16</v>
      </c>
    </row>
    <row r="281" spans="1:13" x14ac:dyDescent="0.2">
      <c r="A281">
        <v>3252</v>
      </c>
      <c r="B281" t="s">
        <v>596</v>
      </c>
      <c r="C281" t="s">
        <v>597</v>
      </c>
      <c r="D281">
        <v>78</v>
      </c>
      <c r="E281">
        <v>4</v>
      </c>
      <c r="F281" t="s">
        <v>124</v>
      </c>
      <c r="G281">
        <v>23465</v>
      </c>
      <c r="H281">
        <v>7</v>
      </c>
      <c r="I281">
        <v>3</v>
      </c>
      <c r="J281">
        <v>10</v>
      </c>
      <c r="K281" t="s">
        <v>17</v>
      </c>
      <c r="L281" t="s">
        <v>16</v>
      </c>
      <c r="M281" t="s">
        <v>16</v>
      </c>
    </row>
    <row r="282" spans="1:13" x14ac:dyDescent="0.2">
      <c r="A282">
        <v>2608</v>
      </c>
      <c r="B282" t="s">
        <v>598</v>
      </c>
      <c r="C282" t="s">
        <v>377</v>
      </c>
      <c r="D282">
        <v>231</v>
      </c>
      <c r="E282">
        <v>7</v>
      </c>
      <c r="F282" t="s">
        <v>34</v>
      </c>
      <c r="G282">
        <v>22918</v>
      </c>
      <c r="H282">
        <v>5</v>
      </c>
      <c r="I282">
        <v>5</v>
      </c>
      <c r="J282">
        <v>9</v>
      </c>
      <c r="K282" t="s">
        <v>17</v>
      </c>
      <c r="L282" t="s">
        <v>16</v>
      </c>
      <c r="M282" t="s">
        <v>17</v>
      </c>
    </row>
    <row r="283" spans="1:13" x14ac:dyDescent="0.2">
      <c r="A283">
        <v>4418</v>
      </c>
      <c r="B283" t="s">
        <v>599</v>
      </c>
      <c r="C283" t="s">
        <v>293</v>
      </c>
      <c r="D283">
        <v>277</v>
      </c>
      <c r="E283">
        <v>7</v>
      </c>
      <c r="F283" t="s">
        <v>147</v>
      </c>
      <c r="G283">
        <v>28950</v>
      </c>
      <c r="H283">
        <v>6</v>
      </c>
      <c r="I283">
        <v>1</v>
      </c>
      <c r="J283">
        <v>8</v>
      </c>
      <c r="K283" t="s">
        <v>16</v>
      </c>
      <c r="L283" t="s">
        <v>16</v>
      </c>
      <c r="M283" t="s">
        <v>16</v>
      </c>
    </row>
    <row r="284" spans="1:13" x14ac:dyDescent="0.2">
      <c r="A284">
        <v>4616</v>
      </c>
      <c r="B284" t="s">
        <v>600</v>
      </c>
      <c r="C284" t="s">
        <v>601</v>
      </c>
      <c r="D284">
        <v>213</v>
      </c>
      <c r="E284">
        <v>5</v>
      </c>
      <c r="F284" t="s">
        <v>291</v>
      </c>
      <c r="G284">
        <v>30858</v>
      </c>
      <c r="H284">
        <v>6</v>
      </c>
      <c r="I284">
        <v>1</v>
      </c>
      <c r="J284">
        <v>3</v>
      </c>
      <c r="K284" t="s">
        <v>17</v>
      </c>
      <c r="L284" t="s">
        <v>17</v>
      </c>
      <c r="M284" t="s">
        <v>16</v>
      </c>
    </row>
    <row r="285" spans="1:13" x14ac:dyDescent="0.2">
      <c r="A285">
        <v>2841</v>
      </c>
      <c r="B285" t="s">
        <v>602</v>
      </c>
      <c r="C285" t="s">
        <v>603</v>
      </c>
      <c r="D285">
        <v>256</v>
      </c>
      <c r="E285">
        <v>2</v>
      </c>
      <c r="F285" t="s">
        <v>184</v>
      </c>
      <c r="G285">
        <v>30650</v>
      </c>
      <c r="H285">
        <v>2</v>
      </c>
      <c r="I285">
        <v>3</v>
      </c>
      <c r="J285">
        <v>0</v>
      </c>
      <c r="K285" t="s">
        <v>16</v>
      </c>
      <c r="L285" t="s">
        <v>16</v>
      </c>
      <c r="M285" t="s">
        <v>16</v>
      </c>
    </row>
    <row r="286" spans="1:13" x14ac:dyDescent="0.2">
      <c r="A286">
        <v>2845</v>
      </c>
      <c r="B286" t="s">
        <v>604</v>
      </c>
      <c r="C286" t="s">
        <v>605</v>
      </c>
      <c r="D286">
        <v>176</v>
      </c>
      <c r="E286">
        <v>10</v>
      </c>
      <c r="F286" t="s">
        <v>94</v>
      </c>
      <c r="G286">
        <v>24906</v>
      </c>
      <c r="H286">
        <v>2</v>
      </c>
      <c r="I286">
        <v>4</v>
      </c>
      <c r="J286">
        <v>0</v>
      </c>
      <c r="K286" t="s">
        <v>16</v>
      </c>
      <c r="L286" t="s">
        <v>16</v>
      </c>
      <c r="M286" t="s">
        <v>16</v>
      </c>
    </row>
    <row r="287" spans="1:13" x14ac:dyDescent="0.2">
      <c r="A287">
        <v>3873</v>
      </c>
      <c r="B287" t="s">
        <v>606</v>
      </c>
      <c r="C287" t="s">
        <v>607</v>
      </c>
      <c r="D287">
        <v>241</v>
      </c>
      <c r="E287">
        <v>1</v>
      </c>
      <c r="F287" t="s">
        <v>76</v>
      </c>
      <c r="G287">
        <v>30881</v>
      </c>
      <c r="H287">
        <v>4</v>
      </c>
      <c r="I287">
        <v>4</v>
      </c>
      <c r="J287">
        <v>5</v>
      </c>
      <c r="K287" t="s">
        <v>17</v>
      </c>
      <c r="L287" t="s">
        <v>17</v>
      </c>
      <c r="M287" t="s">
        <v>16</v>
      </c>
    </row>
    <row r="288" spans="1:13" x14ac:dyDescent="0.2">
      <c r="A288">
        <v>2503</v>
      </c>
      <c r="B288" t="s">
        <v>608</v>
      </c>
      <c r="C288" t="s">
        <v>609</v>
      </c>
      <c r="D288">
        <v>293</v>
      </c>
      <c r="E288">
        <v>5</v>
      </c>
      <c r="F288" t="s">
        <v>45</v>
      </c>
      <c r="G288">
        <v>23941</v>
      </c>
      <c r="H288">
        <v>3</v>
      </c>
      <c r="I288">
        <v>3</v>
      </c>
      <c r="J288">
        <v>8</v>
      </c>
      <c r="K288" t="s">
        <v>16</v>
      </c>
      <c r="L288" t="s">
        <v>17</v>
      </c>
      <c r="M288" t="s">
        <v>16</v>
      </c>
    </row>
    <row r="289" spans="1:13" x14ac:dyDescent="0.2">
      <c r="A289">
        <v>4599</v>
      </c>
      <c r="B289" t="s">
        <v>610</v>
      </c>
      <c r="C289" t="s">
        <v>611</v>
      </c>
      <c r="D289">
        <v>224</v>
      </c>
      <c r="E289">
        <v>5</v>
      </c>
      <c r="F289" t="s">
        <v>179</v>
      </c>
      <c r="G289">
        <v>21182</v>
      </c>
      <c r="H289">
        <v>4</v>
      </c>
      <c r="I289">
        <v>5</v>
      </c>
      <c r="J289">
        <v>9</v>
      </c>
      <c r="K289" t="s">
        <v>17</v>
      </c>
      <c r="L289" t="s">
        <v>17</v>
      </c>
      <c r="M289" t="s">
        <v>17</v>
      </c>
    </row>
    <row r="290" spans="1:13" x14ac:dyDescent="0.2">
      <c r="A290">
        <v>4454</v>
      </c>
      <c r="B290" t="s">
        <v>612</v>
      </c>
      <c r="C290" t="s">
        <v>613</v>
      </c>
      <c r="D290">
        <v>26</v>
      </c>
      <c r="E290">
        <v>4</v>
      </c>
      <c r="F290" t="s">
        <v>184</v>
      </c>
      <c r="G290">
        <v>28033</v>
      </c>
      <c r="H290">
        <v>2</v>
      </c>
      <c r="I290">
        <v>4</v>
      </c>
      <c r="J290">
        <v>5</v>
      </c>
      <c r="K290" t="s">
        <v>16</v>
      </c>
      <c r="L290" t="s">
        <v>17</v>
      </c>
      <c r="M290" t="s">
        <v>16</v>
      </c>
    </row>
    <row r="291" spans="1:13" x14ac:dyDescent="0.2">
      <c r="A291">
        <v>5102</v>
      </c>
      <c r="B291" t="s">
        <v>614</v>
      </c>
      <c r="C291" t="s">
        <v>615</v>
      </c>
      <c r="D291">
        <v>175</v>
      </c>
      <c r="E291">
        <v>1</v>
      </c>
      <c r="F291" t="s">
        <v>48</v>
      </c>
      <c r="G291">
        <v>21149</v>
      </c>
      <c r="H291">
        <v>3</v>
      </c>
      <c r="I291">
        <v>3</v>
      </c>
      <c r="J291">
        <v>8</v>
      </c>
      <c r="K291" t="s">
        <v>17</v>
      </c>
      <c r="L291" t="s">
        <v>16</v>
      </c>
      <c r="M291" t="s">
        <v>17</v>
      </c>
    </row>
    <row r="292" spans="1:13" x14ac:dyDescent="0.2">
      <c r="A292">
        <v>3755</v>
      </c>
      <c r="B292" t="s">
        <v>616</v>
      </c>
      <c r="C292" t="s">
        <v>617</v>
      </c>
      <c r="D292">
        <v>157</v>
      </c>
      <c r="E292">
        <v>4</v>
      </c>
      <c r="F292" t="s">
        <v>20</v>
      </c>
      <c r="G292">
        <v>32408</v>
      </c>
      <c r="H292">
        <v>5</v>
      </c>
      <c r="I292">
        <v>5</v>
      </c>
      <c r="J292">
        <v>2</v>
      </c>
      <c r="K292" t="s">
        <v>17</v>
      </c>
      <c r="L292" t="s">
        <v>17</v>
      </c>
      <c r="M292" t="s">
        <v>16</v>
      </c>
    </row>
    <row r="293" spans="1:13" x14ac:dyDescent="0.2">
      <c r="A293">
        <v>2798</v>
      </c>
      <c r="B293" t="s">
        <v>618</v>
      </c>
      <c r="C293" t="s">
        <v>619</v>
      </c>
      <c r="D293">
        <v>277</v>
      </c>
      <c r="E293">
        <v>10</v>
      </c>
      <c r="F293" t="s">
        <v>109</v>
      </c>
      <c r="G293">
        <v>22448</v>
      </c>
      <c r="H293">
        <v>4</v>
      </c>
      <c r="I293">
        <v>2</v>
      </c>
      <c r="J293">
        <v>1</v>
      </c>
      <c r="K293" t="s">
        <v>16</v>
      </c>
      <c r="L293" t="s">
        <v>16</v>
      </c>
      <c r="M293" t="s">
        <v>16</v>
      </c>
    </row>
    <row r="294" spans="1:13" x14ac:dyDescent="0.2">
      <c r="A294">
        <v>4710</v>
      </c>
      <c r="B294" t="s">
        <v>620</v>
      </c>
      <c r="C294" t="s">
        <v>621</v>
      </c>
      <c r="D294">
        <v>243</v>
      </c>
      <c r="E294">
        <v>7</v>
      </c>
      <c r="F294" t="s">
        <v>29</v>
      </c>
      <c r="G294">
        <v>31919</v>
      </c>
      <c r="H294">
        <v>4</v>
      </c>
      <c r="I294">
        <v>1</v>
      </c>
      <c r="J294">
        <v>9</v>
      </c>
      <c r="K294" t="s">
        <v>16</v>
      </c>
      <c r="L294" t="s">
        <v>16</v>
      </c>
      <c r="M294" t="s">
        <v>17</v>
      </c>
    </row>
    <row r="295" spans="1:13" x14ac:dyDescent="0.2">
      <c r="A295">
        <v>2418</v>
      </c>
      <c r="B295" t="s">
        <v>622</v>
      </c>
      <c r="C295" t="s">
        <v>623</v>
      </c>
      <c r="D295">
        <v>33</v>
      </c>
      <c r="E295">
        <v>8</v>
      </c>
      <c r="F295" t="s">
        <v>130</v>
      </c>
      <c r="G295">
        <v>22343</v>
      </c>
      <c r="H295">
        <v>2</v>
      </c>
      <c r="I295">
        <v>5</v>
      </c>
      <c r="J295">
        <v>8</v>
      </c>
      <c r="K295" t="s">
        <v>16</v>
      </c>
      <c r="L295" t="s">
        <v>17</v>
      </c>
      <c r="M295" t="s">
        <v>16</v>
      </c>
    </row>
    <row r="296" spans="1:13" x14ac:dyDescent="0.2">
      <c r="A296">
        <v>4526</v>
      </c>
      <c r="B296" t="s">
        <v>624</v>
      </c>
      <c r="C296" t="s">
        <v>625</v>
      </c>
      <c r="D296">
        <v>129</v>
      </c>
      <c r="E296">
        <v>4</v>
      </c>
      <c r="F296" t="s">
        <v>127</v>
      </c>
      <c r="G296">
        <v>31662</v>
      </c>
      <c r="H296">
        <v>2</v>
      </c>
      <c r="I296">
        <v>2</v>
      </c>
      <c r="J296">
        <v>6</v>
      </c>
      <c r="K296" t="s">
        <v>17</v>
      </c>
      <c r="L296" t="s">
        <v>16</v>
      </c>
      <c r="M296" t="s">
        <v>17</v>
      </c>
    </row>
    <row r="297" spans="1:13" x14ac:dyDescent="0.2">
      <c r="A297">
        <v>2888</v>
      </c>
      <c r="B297" t="s">
        <v>626</v>
      </c>
      <c r="C297" t="s">
        <v>627</v>
      </c>
      <c r="D297">
        <v>157</v>
      </c>
      <c r="E297">
        <v>9</v>
      </c>
      <c r="F297" t="s">
        <v>67</v>
      </c>
      <c r="G297">
        <v>32849</v>
      </c>
      <c r="H297">
        <v>7</v>
      </c>
      <c r="I297">
        <v>5</v>
      </c>
      <c r="J297">
        <v>2</v>
      </c>
      <c r="K297" t="s">
        <v>16</v>
      </c>
      <c r="L297" t="s">
        <v>17</v>
      </c>
      <c r="M297" t="s">
        <v>17</v>
      </c>
    </row>
    <row r="298" spans="1:13" x14ac:dyDescent="0.2">
      <c r="A298">
        <v>5041</v>
      </c>
      <c r="B298" t="s">
        <v>628</v>
      </c>
      <c r="C298" t="s">
        <v>111</v>
      </c>
      <c r="D298">
        <v>299</v>
      </c>
      <c r="E298">
        <v>1</v>
      </c>
      <c r="F298" t="s">
        <v>23</v>
      </c>
      <c r="G298">
        <v>27603</v>
      </c>
      <c r="H298">
        <v>7</v>
      </c>
      <c r="I298">
        <v>4</v>
      </c>
      <c r="J298">
        <v>10</v>
      </c>
      <c r="K298" t="s">
        <v>16</v>
      </c>
      <c r="L298" t="s">
        <v>16</v>
      </c>
      <c r="M298" t="s">
        <v>17</v>
      </c>
    </row>
    <row r="299" spans="1:13" x14ac:dyDescent="0.2">
      <c r="A299">
        <v>2370</v>
      </c>
      <c r="B299" t="s">
        <v>629</v>
      </c>
      <c r="C299" t="s">
        <v>630</v>
      </c>
      <c r="D299">
        <v>82</v>
      </c>
      <c r="E299">
        <v>5</v>
      </c>
      <c r="F299" t="s">
        <v>34</v>
      </c>
      <c r="G299">
        <v>34222</v>
      </c>
      <c r="H299">
        <v>6</v>
      </c>
      <c r="I299">
        <v>1</v>
      </c>
      <c r="J299">
        <v>6</v>
      </c>
      <c r="K299" t="s">
        <v>16</v>
      </c>
      <c r="L299" t="s">
        <v>17</v>
      </c>
      <c r="M299" t="s">
        <v>16</v>
      </c>
    </row>
    <row r="300" spans="1:13" x14ac:dyDescent="0.2">
      <c r="A300">
        <v>5169</v>
      </c>
      <c r="B300" t="s">
        <v>631</v>
      </c>
      <c r="C300" t="s">
        <v>632</v>
      </c>
      <c r="D300">
        <v>156</v>
      </c>
      <c r="E300">
        <v>5</v>
      </c>
      <c r="F300" t="s">
        <v>58</v>
      </c>
      <c r="G300">
        <v>26004</v>
      </c>
      <c r="H300">
        <v>1</v>
      </c>
      <c r="I300">
        <v>1</v>
      </c>
      <c r="J300">
        <v>2</v>
      </c>
      <c r="K300" t="s">
        <v>16</v>
      </c>
      <c r="L300" t="s">
        <v>17</v>
      </c>
      <c r="M300" t="s">
        <v>16</v>
      </c>
    </row>
    <row r="301" spans="1:13" x14ac:dyDescent="0.2">
      <c r="A301">
        <v>5286</v>
      </c>
      <c r="B301" t="s">
        <v>633</v>
      </c>
      <c r="C301" t="s">
        <v>634</v>
      </c>
      <c r="D301">
        <v>129</v>
      </c>
      <c r="E301">
        <v>7</v>
      </c>
      <c r="F301" t="s">
        <v>15</v>
      </c>
      <c r="G301">
        <v>26075</v>
      </c>
      <c r="H301">
        <v>7</v>
      </c>
      <c r="I301">
        <v>4</v>
      </c>
      <c r="J301">
        <v>10</v>
      </c>
      <c r="K301" t="s">
        <v>16</v>
      </c>
      <c r="L301" t="s">
        <v>16</v>
      </c>
      <c r="M301" t="s">
        <v>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C59A1-AC48-9246-8A59-E653CC52E2E2}">
  <sheetPr>
    <tabColor theme="3" tint="0.749992370372631"/>
  </sheetPr>
  <dimension ref="A1:U301"/>
  <sheetViews>
    <sheetView workbookViewId="0">
      <selection activeCell="U3" sqref="U3"/>
    </sheetView>
  </sheetViews>
  <sheetFormatPr baseColWidth="10" defaultRowHeight="16" x14ac:dyDescent="0.2"/>
  <cols>
    <col min="1" max="1" width="15.33203125" customWidth="1"/>
    <col min="2" max="2" width="32" customWidth="1"/>
    <col min="3" max="3" width="20.83203125" customWidth="1"/>
    <col min="4" max="4" width="21" customWidth="1"/>
    <col min="5" max="7" width="18.33203125" customWidth="1"/>
    <col min="8" max="8" width="25.1640625" customWidth="1"/>
    <col min="9" max="9" width="18.6640625" customWidth="1"/>
    <col min="10" max="10" width="25.5" bestFit="1" customWidth="1"/>
    <col min="11" max="11" width="15" bestFit="1" customWidth="1"/>
    <col min="12" max="12" width="53.5" bestFit="1" customWidth="1"/>
    <col min="13" max="13" width="20.6640625" bestFit="1" customWidth="1"/>
    <col min="14" max="14" width="24.6640625" bestFit="1" customWidth="1"/>
    <col min="15" max="15" width="28.33203125" bestFit="1" customWidth="1"/>
    <col min="16" max="16" width="21.1640625" customWidth="1"/>
    <col min="17" max="17" width="21.33203125" customWidth="1"/>
    <col min="18" max="18" width="22.5" customWidth="1"/>
    <col min="19" max="19" width="25.1640625" customWidth="1"/>
    <col min="20" max="20" width="14.1640625" customWidth="1"/>
    <col min="21" max="21" width="48.5" customWidth="1"/>
  </cols>
  <sheetData>
    <row r="1" spans="1:21" ht="46" customHeight="1" thickTop="1" thickBot="1" x14ac:dyDescent="0.25">
      <c r="A1" s="9" t="s">
        <v>0</v>
      </c>
      <c r="B1" s="9" t="s">
        <v>1</v>
      </c>
      <c r="C1" s="9" t="s">
        <v>2</v>
      </c>
      <c r="D1" s="9" t="s">
        <v>3</v>
      </c>
      <c r="E1" s="13" t="s">
        <v>4</v>
      </c>
      <c r="F1" s="15" t="s">
        <v>658</v>
      </c>
      <c r="G1" s="15" t="s">
        <v>684</v>
      </c>
      <c r="H1" s="14" t="s">
        <v>5</v>
      </c>
      <c r="I1" s="9" t="s">
        <v>6</v>
      </c>
      <c r="J1" s="9" t="s">
        <v>7</v>
      </c>
      <c r="K1" s="9" t="s">
        <v>8</v>
      </c>
      <c r="L1" s="9" t="s">
        <v>9</v>
      </c>
      <c r="M1" s="9" t="s">
        <v>10</v>
      </c>
      <c r="N1" s="9" t="s">
        <v>11</v>
      </c>
      <c r="O1" s="9" t="s">
        <v>12</v>
      </c>
      <c r="Q1" s="30" t="s">
        <v>670</v>
      </c>
      <c r="R1" s="30" t="s">
        <v>671</v>
      </c>
      <c r="S1" s="30" t="s">
        <v>672</v>
      </c>
      <c r="U1" s="26" t="s">
        <v>687</v>
      </c>
    </row>
    <row r="2" spans="1:21" ht="17" thickTop="1" x14ac:dyDescent="0.2">
      <c r="A2" s="2">
        <v>3921</v>
      </c>
      <c r="B2" s="2" t="s">
        <v>13</v>
      </c>
      <c r="C2" s="2" t="s">
        <v>14</v>
      </c>
      <c r="D2" s="3">
        <v>241</v>
      </c>
      <c r="E2" s="2">
        <v>6</v>
      </c>
      <c r="F2" s="3">
        <f>Tab_valori[[#This Row],[Costo a Notte (€)]]*Tab_valori[[#This Row],[Numero Notti]]</f>
        <v>1446</v>
      </c>
      <c r="G2" s="3">
        <f>Tab_valori[[#This Row],[Spesa totale per ogni utente ]]/Tab_valori[[#This Row],[Membri della Famiglia]]</f>
        <v>361.5</v>
      </c>
      <c r="H2" s="2" t="s">
        <v>15</v>
      </c>
      <c r="I2" s="4">
        <v>22350</v>
      </c>
      <c r="J2" s="2">
        <v>4</v>
      </c>
      <c r="K2" s="2">
        <v>3</v>
      </c>
      <c r="L2" s="2">
        <v>2</v>
      </c>
      <c r="M2" s="2" t="s">
        <v>16</v>
      </c>
      <c r="N2" s="2" t="s">
        <v>16</v>
      </c>
      <c r="O2" s="2" t="s">
        <v>17</v>
      </c>
      <c r="Q2">
        <f>COUNTIF(Tab_valori[Rent Mezzo - Auto],"Sì")</f>
        <v>146</v>
      </c>
      <c r="R2">
        <f>COUNTIF(Tab_valori[Rent Mezzo - Biciletta],"Sì")</f>
        <v>146</v>
      </c>
      <c r="S2">
        <f>COUNTIF(Tab_valori[Rent Mezzo - Monopattino],"Sì")</f>
        <v>143</v>
      </c>
      <c r="U2" t="str">
        <f>IF(AND(Tab_valori[[#This Row],[Valutazione]]=5,Tab_valori[[#This Row],[Valutazione sull''attenzione all''ambiente della città]]=10),Tab_valori[[#This Row],[Città Airbnb]],"-")</f>
        <v>-</v>
      </c>
    </row>
    <row r="3" spans="1:21" x14ac:dyDescent="0.2">
      <c r="A3" s="2">
        <v>4606</v>
      </c>
      <c r="B3" s="2" t="s">
        <v>18</v>
      </c>
      <c r="C3" s="2" t="s">
        <v>19</v>
      </c>
      <c r="D3" s="3">
        <v>89</v>
      </c>
      <c r="E3" s="2">
        <v>6</v>
      </c>
      <c r="F3" s="3">
        <f>Tab_valori[[#This Row],[Costo a Notte (€)]]*Tab_valori[[#This Row],[Numero Notti]]</f>
        <v>534</v>
      </c>
      <c r="G3" s="3">
        <f>Tab_valori[[#This Row],[Spesa totale per ogni utente ]]/Tab_valori[[#This Row],[Membri della Famiglia]]</f>
        <v>178</v>
      </c>
      <c r="H3" s="2" t="s">
        <v>20</v>
      </c>
      <c r="I3" s="4">
        <v>33063</v>
      </c>
      <c r="J3" s="2">
        <v>3</v>
      </c>
      <c r="K3" s="2">
        <v>5</v>
      </c>
      <c r="L3" s="2">
        <v>5</v>
      </c>
      <c r="M3" s="2" t="s">
        <v>17</v>
      </c>
      <c r="N3" s="2" t="s">
        <v>16</v>
      </c>
      <c r="O3" s="2" t="s">
        <v>17</v>
      </c>
      <c r="U3" t="str">
        <f>IF(AND(Tab_valori[[#This Row],[Valutazione]]=5,Tab_valori[[#This Row],[Valutazione sull''attenzione all''ambiente della città]]=10),Tab_valori[[#This Row],[Città Airbnb]],"-")</f>
        <v>-</v>
      </c>
    </row>
    <row r="4" spans="1:21" x14ac:dyDescent="0.2">
      <c r="A4" s="2">
        <v>3813</v>
      </c>
      <c r="B4" s="2" t="s">
        <v>21</v>
      </c>
      <c r="C4" s="2" t="s">
        <v>22</v>
      </c>
      <c r="D4" s="3">
        <v>165</v>
      </c>
      <c r="E4" s="2">
        <v>4</v>
      </c>
      <c r="F4" s="3">
        <f>Tab_valori[[#This Row],[Costo a Notte (€)]]*Tab_valori[[#This Row],[Numero Notti]]</f>
        <v>660</v>
      </c>
      <c r="G4" s="3">
        <f>Tab_valori[[#This Row],[Spesa totale per ogni utente ]]/Tab_valori[[#This Row],[Membri della Famiglia]]</f>
        <v>660</v>
      </c>
      <c r="H4" s="2" t="s">
        <v>23</v>
      </c>
      <c r="I4" s="4">
        <v>31177</v>
      </c>
      <c r="J4" s="2">
        <v>1</v>
      </c>
      <c r="K4" s="2">
        <v>2</v>
      </c>
      <c r="L4" s="2">
        <v>7</v>
      </c>
      <c r="M4" s="2" t="s">
        <v>16</v>
      </c>
      <c r="N4" s="2" t="s">
        <v>17</v>
      </c>
      <c r="O4" s="2" t="s">
        <v>17</v>
      </c>
      <c r="U4" t="str">
        <f>IF(AND(Tab_valori[[#This Row],[Valutazione]]=5,Tab_valori[[#This Row],[Valutazione sull''attenzione all''ambiente della città]]=10),Tab_valori[[#This Row],[Città Airbnb]],"-")</f>
        <v>-</v>
      </c>
    </row>
    <row r="5" spans="1:21" x14ac:dyDescent="0.2">
      <c r="A5" s="2">
        <v>5482</v>
      </c>
      <c r="B5" s="2" t="s">
        <v>24</v>
      </c>
      <c r="C5" s="2" t="s">
        <v>25</v>
      </c>
      <c r="D5" s="3">
        <v>202</v>
      </c>
      <c r="E5" s="2">
        <v>3</v>
      </c>
      <c r="F5" s="3">
        <f>Tab_valori[[#This Row],[Costo a Notte (€)]]*Tab_valori[[#This Row],[Numero Notti]]</f>
        <v>606</v>
      </c>
      <c r="G5" s="3">
        <f>Tab_valori[[#This Row],[Spesa totale per ogni utente ]]/Tab_valori[[#This Row],[Membri della Famiglia]]</f>
        <v>121.2</v>
      </c>
      <c r="H5" s="2" t="s">
        <v>26</v>
      </c>
      <c r="I5" s="4">
        <v>31895</v>
      </c>
      <c r="J5" s="2">
        <v>5</v>
      </c>
      <c r="K5" s="2">
        <v>5</v>
      </c>
      <c r="L5" s="2">
        <v>4</v>
      </c>
      <c r="M5" s="2" t="s">
        <v>17</v>
      </c>
      <c r="N5" s="2" t="s">
        <v>16</v>
      </c>
      <c r="O5" s="2" t="s">
        <v>16</v>
      </c>
      <c r="U5" t="str">
        <f>IF(AND(Tab_valori[[#This Row],[Valutazione]]=5,Tab_valori[[#This Row],[Valutazione sull''attenzione all''ambiente della città]]=10),Tab_valori[[#This Row],[Città Airbnb]],"-")</f>
        <v>-</v>
      </c>
    </row>
    <row r="6" spans="1:21" x14ac:dyDescent="0.2">
      <c r="A6" s="2">
        <v>4058</v>
      </c>
      <c r="B6" s="2" t="s">
        <v>27</v>
      </c>
      <c r="C6" s="2" t="s">
        <v>28</v>
      </c>
      <c r="D6" s="3">
        <v>99</v>
      </c>
      <c r="E6" s="2">
        <v>5</v>
      </c>
      <c r="F6" s="3">
        <f>Tab_valori[[#This Row],[Costo a Notte (€)]]*Tab_valori[[#This Row],[Numero Notti]]</f>
        <v>495</v>
      </c>
      <c r="G6" s="3">
        <f>Tab_valori[[#This Row],[Spesa totale per ogni utente ]]/Tab_valori[[#This Row],[Membri della Famiglia]]</f>
        <v>123.75</v>
      </c>
      <c r="H6" s="2" t="s">
        <v>29</v>
      </c>
      <c r="I6" s="4">
        <v>23696</v>
      </c>
      <c r="J6" s="2">
        <v>4</v>
      </c>
      <c r="K6" s="2">
        <v>2</v>
      </c>
      <c r="L6" s="2">
        <v>9</v>
      </c>
      <c r="M6" s="2" t="s">
        <v>16</v>
      </c>
      <c r="N6" s="2" t="s">
        <v>16</v>
      </c>
      <c r="O6" s="2" t="s">
        <v>16</v>
      </c>
      <c r="U6" t="str">
        <f>IF(AND(Tab_valori[[#This Row],[Valutazione]]=5,Tab_valori[[#This Row],[Valutazione sull''attenzione all''ambiente della città]]=10),Tab_valori[[#This Row],[Città Airbnb]],"-")</f>
        <v>-</v>
      </c>
    </row>
    <row r="7" spans="1:21" x14ac:dyDescent="0.2">
      <c r="A7" s="2">
        <v>4115</v>
      </c>
      <c r="B7" s="2" t="s">
        <v>30</v>
      </c>
      <c r="C7" s="2" t="s">
        <v>31</v>
      </c>
      <c r="D7" s="3">
        <v>135</v>
      </c>
      <c r="E7" s="2">
        <v>1</v>
      </c>
      <c r="F7" s="3">
        <f>Tab_valori[[#This Row],[Costo a Notte (€)]]*Tab_valori[[#This Row],[Numero Notti]]</f>
        <v>135</v>
      </c>
      <c r="G7" s="3">
        <f>Tab_valori[[#This Row],[Spesa totale per ogni utente ]]/Tab_valori[[#This Row],[Membri della Famiglia]]</f>
        <v>33.75</v>
      </c>
      <c r="H7" s="2" t="s">
        <v>26</v>
      </c>
      <c r="I7" s="4">
        <v>23983</v>
      </c>
      <c r="J7" s="2">
        <v>4</v>
      </c>
      <c r="K7" s="2">
        <v>2</v>
      </c>
      <c r="L7" s="2">
        <v>1</v>
      </c>
      <c r="M7" s="2" t="s">
        <v>16</v>
      </c>
      <c r="N7" s="2" t="s">
        <v>16</v>
      </c>
      <c r="O7" s="2" t="s">
        <v>17</v>
      </c>
      <c r="U7" t="str">
        <f>IF(AND(Tab_valori[[#This Row],[Valutazione]]=5,Tab_valori[[#This Row],[Valutazione sull''attenzione all''ambiente della città]]=10),Tab_valori[[#This Row],[Città Airbnb]],"-")</f>
        <v>-</v>
      </c>
    </row>
    <row r="8" spans="1:21" x14ac:dyDescent="0.2">
      <c r="A8" s="2">
        <v>2426</v>
      </c>
      <c r="B8" s="2" t="s">
        <v>32</v>
      </c>
      <c r="C8" s="2" t="s">
        <v>33</v>
      </c>
      <c r="D8" s="3">
        <v>263</v>
      </c>
      <c r="E8" s="2">
        <v>3</v>
      </c>
      <c r="F8" s="3">
        <f>Tab_valori[[#This Row],[Costo a Notte (€)]]*Tab_valori[[#This Row],[Numero Notti]]</f>
        <v>789</v>
      </c>
      <c r="G8" s="3">
        <f>Tab_valori[[#This Row],[Spesa totale per ogni utente ]]/Tab_valori[[#This Row],[Membri della Famiglia]]</f>
        <v>131.5</v>
      </c>
      <c r="H8" s="2" t="s">
        <v>34</v>
      </c>
      <c r="I8" s="4">
        <v>23994</v>
      </c>
      <c r="J8" s="2">
        <v>6</v>
      </c>
      <c r="K8" s="2">
        <v>5</v>
      </c>
      <c r="L8" s="2">
        <v>9</v>
      </c>
      <c r="M8" s="2" t="s">
        <v>17</v>
      </c>
      <c r="N8" s="2" t="s">
        <v>16</v>
      </c>
      <c r="O8" s="2" t="s">
        <v>17</v>
      </c>
      <c r="U8" t="str">
        <f>IF(AND(Tab_valori[[#This Row],[Valutazione]]=5,Tab_valori[[#This Row],[Valutazione sull''attenzione all''ambiente della città]]=10),Tab_valori[[#This Row],[Città Airbnb]],"-")</f>
        <v>-</v>
      </c>
    </row>
    <row r="9" spans="1:21" x14ac:dyDescent="0.2">
      <c r="A9" s="2">
        <v>3123</v>
      </c>
      <c r="B9" s="2" t="s">
        <v>35</v>
      </c>
      <c r="C9" s="2" t="s">
        <v>36</v>
      </c>
      <c r="D9" s="3">
        <v>264</v>
      </c>
      <c r="E9" s="2">
        <v>10</v>
      </c>
      <c r="F9" s="3">
        <f>Tab_valori[[#This Row],[Costo a Notte (€)]]*Tab_valori[[#This Row],[Numero Notti]]</f>
        <v>2640</v>
      </c>
      <c r="G9" s="3">
        <f>Tab_valori[[#This Row],[Spesa totale per ogni utente ]]/Tab_valori[[#This Row],[Membri della Famiglia]]</f>
        <v>880</v>
      </c>
      <c r="H9" s="2" t="s">
        <v>37</v>
      </c>
      <c r="I9" s="4">
        <v>30938</v>
      </c>
      <c r="J9" s="2">
        <v>3</v>
      </c>
      <c r="K9" s="2">
        <v>1</v>
      </c>
      <c r="L9" s="2">
        <v>1</v>
      </c>
      <c r="M9" s="2" t="s">
        <v>16</v>
      </c>
      <c r="N9" s="2" t="s">
        <v>16</v>
      </c>
      <c r="O9" s="2" t="s">
        <v>17</v>
      </c>
      <c r="U9" t="str">
        <f>IF(AND(Tab_valori[[#This Row],[Valutazione]]=5,Tab_valori[[#This Row],[Valutazione sull''attenzione all''ambiente della città]]=10),Tab_valori[[#This Row],[Città Airbnb]],"-")</f>
        <v>-</v>
      </c>
    </row>
    <row r="10" spans="1:21" x14ac:dyDescent="0.2">
      <c r="A10" s="2">
        <v>4926</v>
      </c>
      <c r="B10" s="2" t="s">
        <v>38</v>
      </c>
      <c r="C10" s="2" t="s">
        <v>39</v>
      </c>
      <c r="D10" s="3">
        <v>67</v>
      </c>
      <c r="E10" s="2">
        <v>5</v>
      </c>
      <c r="F10" s="3">
        <f>Tab_valori[[#This Row],[Costo a Notte (€)]]*Tab_valori[[#This Row],[Numero Notti]]</f>
        <v>335</v>
      </c>
      <c r="G10" s="3">
        <f>Tab_valori[[#This Row],[Spesa totale per ogni utente ]]/Tab_valori[[#This Row],[Membri della Famiglia]]</f>
        <v>47.857142857142854</v>
      </c>
      <c r="H10" s="2" t="s">
        <v>40</v>
      </c>
      <c r="I10" s="4">
        <v>30079</v>
      </c>
      <c r="J10" s="2">
        <v>7</v>
      </c>
      <c r="K10" s="2">
        <v>5</v>
      </c>
      <c r="L10" s="2">
        <v>8</v>
      </c>
      <c r="M10" s="2" t="s">
        <v>17</v>
      </c>
      <c r="N10" s="2" t="s">
        <v>16</v>
      </c>
      <c r="O10" s="2" t="s">
        <v>16</v>
      </c>
      <c r="U10" t="str">
        <f>IF(AND(Tab_valori[[#This Row],[Valutazione]]=5,Tab_valori[[#This Row],[Valutazione sull''attenzione all''ambiente della città]]=10),Tab_valori[[#This Row],[Città Airbnb]],"-")</f>
        <v>-</v>
      </c>
    </row>
    <row r="11" spans="1:21" x14ac:dyDescent="0.2">
      <c r="A11" s="2">
        <v>2797</v>
      </c>
      <c r="B11" s="2" t="s">
        <v>41</v>
      </c>
      <c r="C11" s="2" t="s">
        <v>42</v>
      </c>
      <c r="D11" s="3">
        <v>300</v>
      </c>
      <c r="E11" s="2">
        <v>1</v>
      </c>
      <c r="F11" s="3">
        <f>Tab_valori[[#This Row],[Costo a Notte (€)]]*Tab_valori[[#This Row],[Numero Notti]]</f>
        <v>300</v>
      </c>
      <c r="G11" s="3">
        <f>Tab_valori[[#This Row],[Spesa totale per ogni utente ]]/Tab_valori[[#This Row],[Membri della Famiglia]]</f>
        <v>75</v>
      </c>
      <c r="H11" s="2" t="s">
        <v>37</v>
      </c>
      <c r="I11" s="4">
        <v>24873</v>
      </c>
      <c r="J11" s="2">
        <v>4</v>
      </c>
      <c r="K11" s="2">
        <v>3</v>
      </c>
      <c r="L11" s="2">
        <v>1</v>
      </c>
      <c r="M11" s="2" t="s">
        <v>17</v>
      </c>
      <c r="N11" s="2" t="s">
        <v>17</v>
      </c>
      <c r="O11" s="2" t="s">
        <v>16</v>
      </c>
      <c r="U11" t="str">
        <f>IF(AND(Tab_valori[[#This Row],[Valutazione]]=5,Tab_valori[[#This Row],[Valutazione sull''attenzione all''ambiente della città]]=10),Tab_valori[[#This Row],[Città Airbnb]],"-")</f>
        <v>-</v>
      </c>
    </row>
    <row r="12" spans="1:21" x14ac:dyDescent="0.2">
      <c r="A12" s="2">
        <v>5533</v>
      </c>
      <c r="B12" s="2" t="s">
        <v>43</v>
      </c>
      <c r="C12" s="2" t="s">
        <v>44</v>
      </c>
      <c r="D12" s="3">
        <v>300</v>
      </c>
      <c r="E12" s="2">
        <v>4</v>
      </c>
      <c r="F12" s="3">
        <f>Tab_valori[[#This Row],[Costo a Notte (€)]]*Tab_valori[[#This Row],[Numero Notti]]</f>
        <v>1200</v>
      </c>
      <c r="G12" s="3">
        <f>Tab_valori[[#This Row],[Spesa totale per ogni utente ]]/Tab_valori[[#This Row],[Membri della Famiglia]]</f>
        <v>600</v>
      </c>
      <c r="H12" s="2" t="s">
        <v>45</v>
      </c>
      <c r="I12" s="4">
        <v>21411</v>
      </c>
      <c r="J12" s="2">
        <v>2</v>
      </c>
      <c r="K12" s="2">
        <v>1</v>
      </c>
      <c r="L12" s="2">
        <v>5</v>
      </c>
      <c r="M12" s="2" t="s">
        <v>17</v>
      </c>
      <c r="N12" s="2" t="s">
        <v>16</v>
      </c>
      <c r="O12" s="2" t="s">
        <v>16</v>
      </c>
      <c r="U12" t="str">
        <f>IF(AND(Tab_valori[[#This Row],[Valutazione]]=5,Tab_valori[[#This Row],[Valutazione sull''attenzione all''ambiente della città]]=10),Tab_valori[[#This Row],[Città Airbnb]],"-")</f>
        <v>-</v>
      </c>
    </row>
    <row r="13" spans="1:21" x14ac:dyDescent="0.2">
      <c r="A13" s="2">
        <v>2383</v>
      </c>
      <c r="B13" s="2" t="s">
        <v>46</v>
      </c>
      <c r="C13" s="2" t="s">
        <v>47</v>
      </c>
      <c r="D13" s="3">
        <v>277</v>
      </c>
      <c r="E13" s="2">
        <v>4</v>
      </c>
      <c r="F13" s="3">
        <f>Tab_valori[[#This Row],[Costo a Notte (€)]]*Tab_valori[[#This Row],[Numero Notti]]</f>
        <v>1108</v>
      </c>
      <c r="G13" s="3">
        <f>Tab_valori[[#This Row],[Spesa totale per ogni utente ]]/Tab_valori[[#This Row],[Membri della Famiglia]]</f>
        <v>277</v>
      </c>
      <c r="H13" s="2" t="s">
        <v>48</v>
      </c>
      <c r="I13" s="4">
        <v>23015</v>
      </c>
      <c r="J13" s="2">
        <v>4</v>
      </c>
      <c r="K13" s="2">
        <v>3</v>
      </c>
      <c r="L13" s="2">
        <v>3</v>
      </c>
      <c r="M13" s="2" t="s">
        <v>16</v>
      </c>
      <c r="N13" s="2" t="s">
        <v>17</v>
      </c>
      <c r="O13" s="2" t="s">
        <v>17</v>
      </c>
      <c r="U13" t="str">
        <f>IF(AND(Tab_valori[[#This Row],[Valutazione]]=5,Tab_valori[[#This Row],[Valutazione sull''attenzione all''ambiente della città]]=10),Tab_valori[[#This Row],[Città Airbnb]],"-")</f>
        <v>-</v>
      </c>
    </row>
    <row r="14" spans="1:21" x14ac:dyDescent="0.2">
      <c r="A14" s="2">
        <v>5561</v>
      </c>
      <c r="B14" s="2" t="s">
        <v>49</v>
      </c>
      <c r="C14" s="2" t="s">
        <v>50</v>
      </c>
      <c r="D14" s="3">
        <v>225</v>
      </c>
      <c r="E14" s="2">
        <v>10</v>
      </c>
      <c r="F14" s="3">
        <f>Tab_valori[[#This Row],[Costo a Notte (€)]]*Tab_valori[[#This Row],[Numero Notti]]</f>
        <v>2250</v>
      </c>
      <c r="G14" s="3">
        <f>Tab_valori[[#This Row],[Spesa totale per ogni utente ]]/Tab_valori[[#This Row],[Membri della Famiglia]]</f>
        <v>1125</v>
      </c>
      <c r="H14" s="2" t="s">
        <v>29</v>
      </c>
      <c r="I14" s="4">
        <v>23826</v>
      </c>
      <c r="J14" s="2">
        <v>2</v>
      </c>
      <c r="K14" s="2">
        <v>5</v>
      </c>
      <c r="L14" s="2">
        <v>8</v>
      </c>
      <c r="M14" s="2" t="s">
        <v>16</v>
      </c>
      <c r="N14" s="2" t="s">
        <v>16</v>
      </c>
      <c r="O14" s="2" t="s">
        <v>16</v>
      </c>
      <c r="U14" t="str">
        <f>IF(AND(Tab_valori[[#This Row],[Valutazione]]=5,Tab_valori[[#This Row],[Valutazione sull''attenzione all''ambiente della città]]=10),Tab_valori[[#This Row],[Città Airbnb]],"-")</f>
        <v>-</v>
      </c>
    </row>
    <row r="15" spans="1:21" x14ac:dyDescent="0.2">
      <c r="A15" s="2">
        <v>3570</v>
      </c>
      <c r="B15" s="2" t="s">
        <v>51</v>
      </c>
      <c r="C15" s="2" t="s">
        <v>52</v>
      </c>
      <c r="D15" s="3">
        <v>157</v>
      </c>
      <c r="E15" s="2">
        <v>6</v>
      </c>
      <c r="F15" s="3">
        <f>Tab_valori[[#This Row],[Costo a Notte (€)]]*Tab_valori[[#This Row],[Numero Notti]]</f>
        <v>942</v>
      </c>
      <c r="G15" s="3">
        <f>Tab_valori[[#This Row],[Spesa totale per ogni utente ]]/Tab_valori[[#This Row],[Membri della Famiglia]]</f>
        <v>314</v>
      </c>
      <c r="H15" s="2" t="s">
        <v>53</v>
      </c>
      <c r="I15" s="4">
        <v>21129</v>
      </c>
      <c r="J15" s="2">
        <v>3</v>
      </c>
      <c r="K15" s="2">
        <v>4</v>
      </c>
      <c r="L15" s="2">
        <v>3</v>
      </c>
      <c r="M15" s="2" t="s">
        <v>17</v>
      </c>
      <c r="N15" s="2" t="s">
        <v>16</v>
      </c>
      <c r="O15" s="2" t="s">
        <v>17</v>
      </c>
      <c r="U15" t="str">
        <f>IF(AND(Tab_valori[[#This Row],[Valutazione]]=5,Tab_valori[[#This Row],[Valutazione sull''attenzione all''ambiente della città]]=10),Tab_valori[[#This Row],[Città Airbnb]],"-")</f>
        <v>-</v>
      </c>
    </row>
    <row r="16" spans="1:21" x14ac:dyDescent="0.2">
      <c r="A16" s="2">
        <v>4637</v>
      </c>
      <c r="B16" s="2" t="s">
        <v>54</v>
      </c>
      <c r="C16" s="2" t="s">
        <v>55</v>
      </c>
      <c r="D16" s="3">
        <v>97</v>
      </c>
      <c r="E16" s="2">
        <v>9</v>
      </c>
      <c r="F16" s="3">
        <f>Tab_valori[[#This Row],[Costo a Notte (€)]]*Tab_valori[[#This Row],[Numero Notti]]</f>
        <v>873</v>
      </c>
      <c r="G16" s="3">
        <f>Tab_valori[[#This Row],[Spesa totale per ogni utente ]]/Tab_valori[[#This Row],[Membri della Famiglia]]</f>
        <v>291</v>
      </c>
      <c r="H16" s="2" t="s">
        <v>26</v>
      </c>
      <c r="I16" s="4">
        <v>24418</v>
      </c>
      <c r="J16" s="2">
        <v>3</v>
      </c>
      <c r="K16" s="2">
        <v>2</v>
      </c>
      <c r="L16" s="2">
        <v>8</v>
      </c>
      <c r="M16" s="2" t="s">
        <v>17</v>
      </c>
      <c r="N16" s="2" t="s">
        <v>17</v>
      </c>
      <c r="O16" s="2" t="s">
        <v>17</v>
      </c>
      <c r="U16" t="str">
        <f>IF(AND(Tab_valori[[#This Row],[Valutazione]]=5,Tab_valori[[#This Row],[Valutazione sull''attenzione all''ambiente della città]]=10),Tab_valori[[#This Row],[Città Airbnb]],"-")</f>
        <v>-</v>
      </c>
    </row>
    <row r="17" spans="1:21" x14ac:dyDescent="0.2">
      <c r="A17" s="2">
        <v>4435</v>
      </c>
      <c r="B17" s="2" t="s">
        <v>56</v>
      </c>
      <c r="C17" s="2" t="s">
        <v>57</v>
      </c>
      <c r="D17" s="3">
        <v>249</v>
      </c>
      <c r="E17" s="2">
        <v>3</v>
      </c>
      <c r="F17" s="3">
        <f>Tab_valori[[#This Row],[Costo a Notte (€)]]*Tab_valori[[#This Row],[Numero Notti]]</f>
        <v>747</v>
      </c>
      <c r="G17" s="3">
        <f>Tab_valori[[#This Row],[Spesa totale per ogni utente ]]/Tab_valori[[#This Row],[Membri della Famiglia]]</f>
        <v>124.5</v>
      </c>
      <c r="H17" s="2" t="s">
        <v>58</v>
      </c>
      <c r="I17" s="4">
        <v>27225</v>
      </c>
      <c r="J17" s="2">
        <v>6</v>
      </c>
      <c r="K17" s="2">
        <v>4</v>
      </c>
      <c r="L17" s="2">
        <v>7</v>
      </c>
      <c r="M17" s="2" t="s">
        <v>16</v>
      </c>
      <c r="N17" s="2" t="s">
        <v>16</v>
      </c>
      <c r="O17" s="2" t="s">
        <v>16</v>
      </c>
      <c r="U17" t="str">
        <f>IF(AND(Tab_valori[[#This Row],[Valutazione]]=5,Tab_valori[[#This Row],[Valutazione sull''attenzione all''ambiente della città]]=10),Tab_valori[[#This Row],[Città Airbnb]],"-")</f>
        <v>-</v>
      </c>
    </row>
    <row r="18" spans="1:21" x14ac:dyDescent="0.2">
      <c r="A18" s="2">
        <v>3804</v>
      </c>
      <c r="B18" s="2" t="s">
        <v>59</v>
      </c>
      <c r="C18" s="2" t="s">
        <v>60</v>
      </c>
      <c r="D18" s="3">
        <v>216</v>
      </c>
      <c r="E18" s="2">
        <v>2</v>
      </c>
      <c r="F18" s="3">
        <f>Tab_valori[[#This Row],[Costo a Notte (€)]]*Tab_valori[[#This Row],[Numero Notti]]</f>
        <v>432</v>
      </c>
      <c r="G18" s="3">
        <f>Tab_valori[[#This Row],[Spesa totale per ogni utente ]]/Tab_valori[[#This Row],[Membri della Famiglia]]</f>
        <v>61.714285714285715</v>
      </c>
      <c r="H18" s="2" t="s">
        <v>48</v>
      </c>
      <c r="I18" s="4">
        <v>34642</v>
      </c>
      <c r="J18" s="2">
        <v>7</v>
      </c>
      <c r="K18" s="2">
        <v>4</v>
      </c>
      <c r="L18" s="2">
        <v>2</v>
      </c>
      <c r="M18" s="2" t="s">
        <v>16</v>
      </c>
      <c r="N18" s="2" t="s">
        <v>17</v>
      </c>
      <c r="O18" s="2" t="s">
        <v>17</v>
      </c>
      <c r="U18" t="str">
        <f>IF(AND(Tab_valori[[#This Row],[Valutazione]]=5,Tab_valori[[#This Row],[Valutazione sull''attenzione all''ambiente della città]]=10),Tab_valori[[#This Row],[Città Airbnb]],"-")</f>
        <v>-</v>
      </c>
    </row>
    <row r="19" spans="1:21" x14ac:dyDescent="0.2">
      <c r="A19" s="2">
        <v>3576</v>
      </c>
      <c r="B19" s="2" t="s">
        <v>61</v>
      </c>
      <c r="C19" s="2" t="s">
        <v>62</v>
      </c>
      <c r="D19" s="3">
        <v>117</v>
      </c>
      <c r="E19" s="2">
        <v>5</v>
      </c>
      <c r="F19" s="3">
        <f>Tab_valori[[#This Row],[Costo a Notte (€)]]*Tab_valori[[#This Row],[Numero Notti]]</f>
        <v>585</v>
      </c>
      <c r="G19" s="3">
        <f>Tab_valori[[#This Row],[Spesa totale per ogni utente ]]/Tab_valori[[#This Row],[Membri della Famiglia]]</f>
        <v>195</v>
      </c>
      <c r="H19" s="2" t="s">
        <v>63</v>
      </c>
      <c r="I19" s="4">
        <v>29872</v>
      </c>
      <c r="J19" s="2">
        <v>3</v>
      </c>
      <c r="K19" s="2">
        <v>1</v>
      </c>
      <c r="L19" s="2">
        <v>6</v>
      </c>
      <c r="M19" s="2" t="s">
        <v>17</v>
      </c>
      <c r="N19" s="2" t="s">
        <v>17</v>
      </c>
      <c r="O19" s="2" t="s">
        <v>17</v>
      </c>
      <c r="U19" t="str">
        <f>IF(AND(Tab_valori[[#This Row],[Valutazione]]=5,Tab_valori[[#This Row],[Valutazione sull''attenzione all''ambiente della città]]=10),Tab_valori[[#This Row],[Città Airbnb]],"-")</f>
        <v>-</v>
      </c>
    </row>
    <row r="20" spans="1:21" x14ac:dyDescent="0.2">
      <c r="A20" s="2">
        <v>5173</v>
      </c>
      <c r="B20" s="2" t="s">
        <v>64</v>
      </c>
      <c r="C20" s="2" t="s">
        <v>31</v>
      </c>
      <c r="D20" s="3">
        <v>204</v>
      </c>
      <c r="E20" s="2">
        <v>3</v>
      </c>
      <c r="F20" s="3">
        <f>Tab_valori[[#This Row],[Costo a Notte (€)]]*Tab_valori[[#This Row],[Numero Notti]]</f>
        <v>612</v>
      </c>
      <c r="G20" s="3">
        <f>Tab_valori[[#This Row],[Spesa totale per ogni utente ]]/Tab_valori[[#This Row],[Membri della Famiglia]]</f>
        <v>102</v>
      </c>
      <c r="H20" s="2" t="s">
        <v>65</v>
      </c>
      <c r="I20" s="4">
        <v>25705</v>
      </c>
      <c r="J20" s="2">
        <v>6</v>
      </c>
      <c r="K20" s="2">
        <v>3</v>
      </c>
      <c r="L20" s="2">
        <v>2</v>
      </c>
      <c r="M20" s="2" t="s">
        <v>16</v>
      </c>
      <c r="N20" s="2" t="s">
        <v>17</v>
      </c>
      <c r="O20" s="2" t="s">
        <v>17</v>
      </c>
      <c r="U20" t="str">
        <f>IF(AND(Tab_valori[[#This Row],[Valutazione]]=5,Tab_valori[[#This Row],[Valutazione sull''attenzione all''ambiente della città]]=10),Tab_valori[[#This Row],[Città Airbnb]],"-")</f>
        <v>-</v>
      </c>
    </row>
    <row r="21" spans="1:21" x14ac:dyDescent="0.2">
      <c r="A21" s="2">
        <v>4929</v>
      </c>
      <c r="B21" s="2" t="s">
        <v>66</v>
      </c>
      <c r="C21" s="2" t="s">
        <v>44</v>
      </c>
      <c r="D21" s="3">
        <v>69</v>
      </c>
      <c r="E21" s="2">
        <v>3</v>
      </c>
      <c r="F21" s="3">
        <f>Tab_valori[[#This Row],[Costo a Notte (€)]]*Tab_valori[[#This Row],[Numero Notti]]</f>
        <v>207</v>
      </c>
      <c r="G21" s="3">
        <f>Tab_valori[[#This Row],[Spesa totale per ogni utente ]]/Tab_valori[[#This Row],[Membri della Famiglia]]</f>
        <v>207</v>
      </c>
      <c r="H21" s="2" t="s">
        <v>67</v>
      </c>
      <c r="I21" s="4">
        <v>21816</v>
      </c>
      <c r="J21" s="2">
        <v>1</v>
      </c>
      <c r="K21" s="2">
        <v>2</v>
      </c>
      <c r="L21" s="2">
        <v>10</v>
      </c>
      <c r="M21" s="2" t="s">
        <v>17</v>
      </c>
      <c r="N21" s="2" t="s">
        <v>16</v>
      </c>
      <c r="O21" s="2" t="s">
        <v>17</v>
      </c>
      <c r="U21" t="str">
        <f>IF(AND(Tab_valori[[#This Row],[Valutazione]]=5,Tab_valori[[#This Row],[Valutazione sull''attenzione all''ambiente della città]]=10),Tab_valori[[#This Row],[Città Airbnb]],"-")</f>
        <v>-</v>
      </c>
    </row>
    <row r="22" spans="1:21" x14ac:dyDescent="0.2">
      <c r="A22" s="2">
        <v>2844</v>
      </c>
      <c r="B22" s="2" t="s">
        <v>68</v>
      </c>
      <c r="C22" s="2" t="s">
        <v>69</v>
      </c>
      <c r="D22" s="3">
        <v>53</v>
      </c>
      <c r="E22" s="2">
        <v>8</v>
      </c>
      <c r="F22" s="3">
        <f>Tab_valori[[#This Row],[Costo a Notte (€)]]*Tab_valori[[#This Row],[Numero Notti]]</f>
        <v>424</v>
      </c>
      <c r="G22" s="3">
        <f>Tab_valori[[#This Row],[Spesa totale per ogni utente ]]/Tab_valori[[#This Row],[Membri della Famiglia]]</f>
        <v>141.33333333333334</v>
      </c>
      <c r="H22" s="2" t="s">
        <v>70</v>
      </c>
      <c r="I22" s="4">
        <v>29697</v>
      </c>
      <c r="J22" s="2">
        <v>3</v>
      </c>
      <c r="K22" s="2">
        <v>4</v>
      </c>
      <c r="L22" s="2">
        <v>5</v>
      </c>
      <c r="M22" s="2" t="s">
        <v>16</v>
      </c>
      <c r="N22" s="2" t="s">
        <v>16</v>
      </c>
      <c r="O22" s="2" t="s">
        <v>16</v>
      </c>
      <c r="U22" t="str">
        <f>IF(AND(Tab_valori[[#This Row],[Valutazione]]=5,Tab_valori[[#This Row],[Valutazione sull''attenzione all''ambiente della città]]=10),Tab_valori[[#This Row],[Città Airbnb]],"-")</f>
        <v>-</v>
      </c>
    </row>
    <row r="23" spans="1:21" x14ac:dyDescent="0.2">
      <c r="A23" s="2">
        <v>3783</v>
      </c>
      <c r="B23" s="2" t="s">
        <v>71</v>
      </c>
      <c r="C23" s="2" t="s">
        <v>72</v>
      </c>
      <c r="D23" s="3">
        <v>176</v>
      </c>
      <c r="E23" s="2">
        <v>5</v>
      </c>
      <c r="F23" s="3">
        <f>Tab_valori[[#This Row],[Costo a Notte (€)]]*Tab_valori[[#This Row],[Numero Notti]]</f>
        <v>880</v>
      </c>
      <c r="G23" s="3">
        <f>Tab_valori[[#This Row],[Spesa totale per ogni utente ]]/Tab_valori[[#This Row],[Membri della Famiglia]]</f>
        <v>125.71428571428571</v>
      </c>
      <c r="H23" s="2" t="s">
        <v>73</v>
      </c>
      <c r="I23" s="4">
        <v>25693</v>
      </c>
      <c r="J23" s="2">
        <v>7</v>
      </c>
      <c r="K23" s="2">
        <v>2</v>
      </c>
      <c r="L23" s="2">
        <v>4</v>
      </c>
      <c r="M23" s="2" t="s">
        <v>17</v>
      </c>
      <c r="N23" s="2" t="s">
        <v>17</v>
      </c>
      <c r="O23" s="2" t="s">
        <v>17</v>
      </c>
      <c r="U23" t="str">
        <f>IF(AND(Tab_valori[[#This Row],[Valutazione]]=5,Tab_valori[[#This Row],[Valutazione sull''attenzione all''ambiente della città]]=10),Tab_valori[[#This Row],[Città Airbnb]],"-")</f>
        <v>-</v>
      </c>
    </row>
    <row r="24" spans="1:21" x14ac:dyDescent="0.2">
      <c r="A24" s="2">
        <v>5096</v>
      </c>
      <c r="B24" s="2" t="s">
        <v>74</v>
      </c>
      <c r="C24" s="2" t="s">
        <v>75</v>
      </c>
      <c r="D24" s="3">
        <v>74</v>
      </c>
      <c r="E24" s="2">
        <v>1</v>
      </c>
      <c r="F24" s="3">
        <f>Tab_valori[[#This Row],[Costo a Notte (€)]]*Tab_valori[[#This Row],[Numero Notti]]</f>
        <v>74</v>
      </c>
      <c r="G24" s="3">
        <f>Tab_valori[[#This Row],[Spesa totale per ogni utente ]]/Tab_valori[[#This Row],[Membri della Famiglia]]</f>
        <v>10.571428571428571</v>
      </c>
      <c r="H24" s="2" t="s">
        <v>76</v>
      </c>
      <c r="I24" s="4">
        <v>34185</v>
      </c>
      <c r="J24" s="2">
        <v>7</v>
      </c>
      <c r="K24" s="2">
        <v>3</v>
      </c>
      <c r="L24" s="2">
        <v>2</v>
      </c>
      <c r="M24" s="2" t="s">
        <v>17</v>
      </c>
      <c r="N24" s="2" t="s">
        <v>17</v>
      </c>
      <c r="O24" s="2" t="s">
        <v>17</v>
      </c>
      <c r="U24" t="str">
        <f>IF(AND(Tab_valori[[#This Row],[Valutazione]]=5,Tab_valori[[#This Row],[Valutazione sull''attenzione all''ambiente della città]]=10),Tab_valori[[#This Row],[Città Airbnb]],"-")</f>
        <v>-</v>
      </c>
    </row>
    <row r="25" spans="1:21" x14ac:dyDescent="0.2">
      <c r="A25" s="2">
        <v>4502</v>
      </c>
      <c r="B25" s="2" t="s">
        <v>77</v>
      </c>
      <c r="C25" s="2" t="s">
        <v>78</v>
      </c>
      <c r="D25" s="3">
        <v>194</v>
      </c>
      <c r="E25" s="2">
        <v>4</v>
      </c>
      <c r="F25" s="3">
        <f>Tab_valori[[#This Row],[Costo a Notte (€)]]*Tab_valori[[#This Row],[Numero Notti]]</f>
        <v>776</v>
      </c>
      <c r="G25" s="3">
        <f>Tab_valori[[#This Row],[Spesa totale per ogni utente ]]/Tab_valori[[#This Row],[Membri della Famiglia]]</f>
        <v>388</v>
      </c>
      <c r="H25" s="2" t="s">
        <v>40</v>
      </c>
      <c r="I25" s="4">
        <v>34141</v>
      </c>
      <c r="J25" s="2">
        <v>2</v>
      </c>
      <c r="K25" s="2">
        <v>3</v>
      </c>
      <c r="L25" s="2">
        <v>3</v>
      </c>
      <c r="M25" s="2" t="s">
        <v>17</v>
      </c>
      <c r="N25" s="2" t="s">
        <v>16</v>
      </c>
      <c r="O25" s="2" t="s">
        <v>16</v>
      </c>
      <c r="U25" t="str">
        <f>IF(AND(Tab_valori[[#This Row],[Valutazione]]=5,Tab_valori[[#This Row],[Valutazione sull''attenzione all''ambiente della città]]=10),Tab_valori[[#This Row],[Città Airbnb]],"-")</f>
        <v>-</v>
      </c>
    </row>
    <row r="26" spans="1:21" x14ac:dyDescent="0.2">
      <c r="A26" s="2">
        <v>3585</v>
      </c>
      <c r="B26" s="2" t="s">
        <v>79</v>
      </c>
      <c r="C26" s="2" t="s">
        <v>80</v>
      </c>
      <c r="D26" s="3">
        <v>233</v>
      </c>
      <c r="E26" s="2">
        <v>9</v>
      </c>
      <c r="F26" s="3">
        <f>Tab_valori[[#This Row],[Costo a Notte (€)]]*Tab_valori[[#This Row],[Numero Notti]]</f>
        <v>2097</v>
      </c>
      <c r="G26" s="3">
        <f>Tab_valori[[#This Row],[Spesa totale per ogni utente ]]/Tab_valori[[#This Row],[Membri della Famiglia]]</f>
        <v>2097</v>
      </c>
      <c r="H26" s="2" t="s">
        <v>48</v>
      </c>
      <c r="I26" s="4">
        <v>33913</v>
      </c>
      <c r="J26" s="2">
        <v>1</v>
      </c>
      <c r="K26" s="2">
        <v>3</v>
      </c>
      <c r="L26" s="2">
        <v>4</v>
      </c>
      <c r="M26" s="2" t="s">
        <v>17</v>
      </c>
      <c r="N26" s="2" t="s">
        <v>16</v>
      </c>
      <c r="O26" s="2" t="s">
        <v>17</v>
      </c>
      <c r="U26" t="str">
        <f>IF(AND(Tab_valori[[#This Row],[Valutazione]]=5,Tab_valori[[#This Row],[Valutazione sull''attenzione all''ambiente della città]]=10),Tab_valori[[#This Row],[Città Airbnb]],"-")</f>
        <v>-</v>
      </c>
    </row>
    <row r="27" spans="1:21" x14ac:dyDescent="0.2">
      <c r="A27" s="2">
        <v>3532</v>
      </c>
      <c r="B27" s="2" t="s">
        <v>81</v>
      </c>
      <c r="C27" s="2" t="s">
        <v>44</v>
      </c>
      <c r="D27" s="3">
        <v>179</v>
      </c>
      <c r="E27" s="2">
        <v>7</v>
      </c>
      <c r="F27" s="3">
        <f>Tab_valori[[#This Row],[Costo a Notte (€)]]*Tab_valori[[#This Row],[Numero Notti]]</f>
        <v>1253</v>
      </c>
      <c r="G27" s="3">
        <f>Tab_valori[[#This Row],[Spesa totale per ogni utente ]]/Tab_valori[[#This Row],[Membri della Famiglia]]</f>
        <v>179</v>
      </c>
      <c r="H27" s="2" t="s">
        <v>82</v>
      </c>
      <c r="I27" s="4">
        <v>23027</v>
      </c>
      <c r="J27" s="2">
        <v>7</v>
      </c>
      <c r="K27" s="2">
        <v>2</v>
      </c>
      <c r="L27" s="2">
        <v>10</v>
      </c>
      <c r="M27" s="2" t="s">
        <v>16</v>
      </c>
      <c r="N27" s="2" t="s">
        <v>17</v>
      </c>
      <c r="O27" s="2" t="s">
        <v>17</v>
      </c>
      <c r="U27" t="str">
        <f>IF(AND(Tab_valori[[#This Row],[Valutazione]]=5,Tab_valori[[#This Row],[Valutazione sull''attenzione all''ambiente della città]]=10),Tab_valori[[#This Row],[Città Airbnb]],"-")</f>
        <v>-</v>
      </c>
    </row>
    <row r="28" spans="1:21" x14ac:dyDescent="0.2">
      <c r="A28" s="2">
        <v>3144</v>
      </c>
      <c r="B28" s="2" t="s">
        <v>83</v>
      </c>
      <c r="C28" s="2" t="s">
        <v>84</v>
      </c>
      <c r="D28" s="3">
        <v>286</v>
      </c>
      <c r="E28" s="2">
        <v>10</v>
      </c>
      <c r="F28" s="3">
        <f>Tab_valori[[#This Row],[Costo a Notte (€)]]*Tab_valori[[#This Row],[Numero Notti]]</f>
        <v>2860</v>
      </c>
      <c r="G28" s="3">
        <f>Tab_valori[[#This Row],[Spesa totale per ogni utente ]]/Tab_valori[[#This Row],[Membri della Famiglia]]</f>
        <v>2860</v>
      </c>
      <c r="H28" s="2" t="s">
        <v>20</v>
      </c>
      <c r="I28" s="4">
        <v>23574</v>
      </c>
      <c r="J28" s="2">
        <v>1</v>
      </c>
      <c r="K28" s="2">
        <v>1</v>
      </c>
      <c r="L28" s="2">
        <v>3</v>
      </c>
      <c r="M28" s="2" t="s">
        <v>16</v>
      </c>
      <c r="N28" s="2" t="s">
        <v>16</v>
      </c>
      <c r="O28" s="2" t="s">
        <v>17</v>
      </c>
      <c r="U28" t="str">
        <f>IF(AND(Tab_valori[[#This Row],[Valutazione]]=5,Tab_valori[[#This Row],[Valutazione sull''attenzione all''ambiente della città]]=10),Tab_valori[[#This Row],[Città Airbnb]],"-")</f>
        <v>-</v>
      </c>
    </row>
    <row r="29" spans="1:21" x14ac:dyDescent="0.2">
      <c r="A29" s="2">
        <v>3580</v>
      </c>
      <c r="B29" s="2" t="s">
        <v>85</v>
      </c>
      <c r="C29" s="2" t="s">
        <v>86</v>
      </c>
      <c r="D29" s="3">
        <v>156</v>
      </c>
      <c r="E29" s="2">
        <v>10</v>
      </c>
      <c r="F29" s="3">
        <f>Tab_valori[[#This Row],[Costo a Notte (€)]]*Tab_valori[[#This Row],[Numero Notti]]</f>
        <v>1560</v>
      </c>
      <c r="G29" s="3">
        <f>Tab_valori[[#This Row],[Spesa totale per ogni utente ]]/Tab_valori[[#This Row],[Membri della Famiglia]]</f>
        <v>312</v>
      </c>
      <c r="H29" s="2" t="s">
        <v>37</v>
      </c>
      <c r="I29" s="4">
        <v>28040</v>
      </c>
      <c r="J29" s="2">
        <v>5</v>
      </c>
      <c r="K29" s="2">
        <v>2</v>
      </c>
      <c r="L29" s="2">
        <v>4</v>
      </c>
      <c r="M29" s="2" t="s">
        <v>17</v>
      </c>
      <c r="N29" s="2" t="s">
        <v>17</v>
      </c>
      <c r="O29" s="2" t="s">
        <v>17</v>
      </c>
      <c r="U29" t="str">
        <f>IF(AND(Tab_valori[[#This Row],[Valutazione]]=5,Tab_valori[[#This Row],[Valutazione sull''attenzione all''ambiente della città]]=10),Tab_valori[[#This Row],[Città Airbnb]],"-")</f>
        <v>-</v>
      </c>
    </row>
    <row r="30" spans="1:21" x14ac:dyDescent="0.2">
      <c r="A30" s="2">
        <v>2309</v>
      </c>
      <c r="B30" s="2" t="s">
        <v>87</v>
      </c>
      <c r="C30" s="2" t="s">
        <v>88</v>
      </c>
      <c r="D30" s="3">
        <v>259</v>
      </c>
      <c r="E30" s="2">
        <v>9</v>
      </c>
      <c r="F30" s="3">
        <f>Tab_valori[[#This Row],[Costo a Notte (€)]]*Tab_valori[[#This Row],[Numero Notti]]</f>
        <v>2331</v>
      </c>
      <c r="G30" s="3">
        <f>Tab_valori[[#This Row],[Spesa totale per ogni utente ]]/Tab_valori[[#This Row],[Membri della Famiglia]]</f>
        <v>333</v>
      </c>
      <c r="H30" s="2" t="s">
        <v>45</v>
      </c>
      <c r="I30" s="4">
        <v>33858</v>
      </c>
      <c r="J30" s="2">
        <v>7</v>
      </c>
      <c r="K30" s="2">
        <v>3</v>
      </c>
      <c r="L30" s="2">
        <v>10</v>
      </c>
      <c r="M30" s="2" t="s">
        <v>17</v>
      </c>
      <c r="N30" s="2" t="s">
        <v>16</v>
      </c>
      <c r="O30" s="2" t="s">
        <v>16</v>
      </c>
      <c r="U30" t="str">
        <f>IF(AND(Tab_valori[[#This Row],[Valutazione]]=5,Tab_valori[[#This Row],[Valutazione sull''attenzione all''ambiente della città]]=10),Tab_valori[[#This Row],[Città Airbnb]],"-")</f>
        <v>-</v>
      </c>
    </row>
    <row r="31" spans="1:21" x14ac:dyDescent="0.2">
      <c r="A31" s="2">
        <v>4374</v>
      </c>
      <c r="B31" s="2" t="s">
        <v>89</v>
      </c>
      <c r="C31" s="2" t="s">
        <v>90</v>
      </c>
      <c r="D31" s="3">
        <v>273</v>
      </c>
      <c r="E31" s="2">
        <v>10</v>
      </c>
      <c r="F31" s="3">
        <f>Tab_valori[[#This Row],[Costo a Notte (€)]]*Tab_valori[[#This Row],[Numero Notti]]</f>
        <v>2730</v>
      </c>
      <c r="G31" s="3">
        <f>Tab_valori[[#This Row],[Spesa totale per ogni utente ]]/Tab_valori[[#This Row],[Membri della Famiglia]]</f>
        <v>910</v>
      </c>
      <c r="H31" s="2" t="s">
        <v>91</v>
      </c>
      <c r="I31" s="4">
        <v>32159</v>
      </c>
      <c r="J31" s="2">
        <v>3</v>
      </c>
      <c r="K31" s="2">
        <v>3</v>
      </c>
      <c r="L31" s="2">
        <v>10</v>
      </c>
      <c r="M31" s="2" t="s">
        <v>17</v>
      </c>
      <c r="N31" s="2" t="s">
        <v>17</v>
      </c>
      <c r="O31" s="2" t="s">
        <v>16</v>
      </c>
      <c r="U31" t="str">
        <f>IF(AND(Tab_valori[[#This Row],[Valutazione]]=5,Tab_valori[[#This Row],[Valutazione sull''attenzione all''ambiente della città]]=10),Tab_valori[[#This Row],[Città Airbnb]],"-")</f>
        <v>-</v>
      </c>
    </row>
    <row r="32" spans="1:21" x14ac:dyDescent="0.2">
      <c r="A32" s="2">
        <v>3470</v>
      </c>
      <c r="B32" s="2" t="s">
        <v>92</v>
      </c>
      <c r="C32" s="2" t="s">
        <v>93</v>
      </c>
      <c r="D32" s="3">
        <v>229</v>
      </c>
      <c r="E32" s="2">
        <v>8</v>
      </c>
      <c r="F32" s="3">
        <f>Tab_valori[[#This Row],[Costo a Notte (€)]]*Tab_valori[[#This Row],[Numero Notti]]</f>
        <v>1832</v>
      </c>
      <c r="G32" s="3">
        <f>Tab_valori[[#This Row],[Spesa totale per ogni utente ]]/Tab_valori[[#This Row],[Membri della Famiglia]]</f>
        <v>1832</v>
      </c>
      <c r="H32" s="2" t="s">
        <v>94</v>
      </c>
      <c r="I32" s="4">
        <v>22084</v>
      </c>
      <c r="J32" s="2">
        <v>1</v>
      </c>
      <c r="K32" s="2">
        <v>4</v>
      </c>
      <c r="L32" s="2">
        <v>3</v>
      </c>
      <c r="M32" s="2" t="s">
        <v>16</v>
      </c>
      <c r="N32" s="2" t="s">
        <v>17</v>
      </c>
      <c r="O32" s="2" t="s">
        <v>16</v>
      </c>
      <c r="U32" t="str">
        <f>IF(AND(Tab_valori[[#This Row],[Valutazione]]=5,Tab_valori[[#This Row],[Valutazione sull''attenzione all''ambiente della città]]=10),Tab_valori[[#This Row],[Città Airbnb]],"-")</f>
        <v>-</v>
      </c>
    </row>
    <row r="33" spans="1:21" x14ac:dyDescent="0.2">
      <c r="A33" s="2">
        <v>2657</v>
      </c>
      <c r="B33" s="2" t="s">
        <v>95</v>
      </c>
      <c r="C33" s="2" t="s">
        <v>96</v>
      </c>
      <c r="D33" s="3">
        <v>254</v>
      </c>
      <c r="E33" s="2">
        <v>2</v>
      </c>
      <c r="F33" s="3">
        <f>Tab_valori[[#This Row],[Costo a Notte (€)]]*Tab_valori[[#This Row],[Numero Notti]]</f>
        <v>508</v>
      </c>
      <c r="G33" s="3">
        <f>Tab_valori[[#This Row],[Spesa totale per ogni utente ]]/Tab_valori[[#This Row],[Membri della Famiglia]]</f>
        <v>101.6</v>
      </c>
      <c r="H33" s="2" t="s">
        <v>53</v>
      </c>
      <c r="I33" s="4">
        <v>33258</v>
      </c>
      <c r="J33" s="2">
        <v>5</v>
      </c>
      <c r="K33" s="2">
        <v>2</v>
      </c>
      <c r="L33" s="2">
        <v>8</v>
      </c>
      <c r="M33" s="2" t="s">
        <v>16</v>
      </c>
      <c r="N33" s="2" t="s">
        <v>17</v>
      </c>
      <c r="O33" s="2" t="s">
        <v>16</v>
      </c>
      <c r="U33" t="str">
        <f>IF(AND(Tab_valori[[#This Row],[Valutazione]]=5,Tab_valori[[#This Row],[Valutazione sull''attenzione all''ambiente della città]]=10),Tab_valori[[#This Row],[Città Airbnb]],"-")</f>
        <v>-</v>
      </c>
    </row>
    <row r="34" spans="1:21" x14ac:dyDescent="0.2">
      <c r="A34" s="2">
        <v>3617</v>
      </c>
      <c r="B34" s="2" t="s">
        <v>97</v>
      </c>
      <c r="C34" s="2" t="s">
        <v>98</v>
      </c>
      <c r="D34" s="3">
        <v>97</v>
      </c>
      <c r="E34" s="2">
        <v>4</v>
      </c>
      <c r="F34" s="3">
        <f>Tab_valori[[#This Row],[Costo a Notte (€)]]*Tab_valori[[#This Row],[Numero Notti]]</f>
        <v>388</v>
      </c>
      <c r="G34" s="3">
        <f>Tab_valori[[#This Row],[Spesa totale per ogni utente ]]/Tab_valori[[#This Row],[Membri della Famiglia]]</f>
        <v>194</v>
      </c>
      <c r="H34" s="2" t="s">
        <v>73</v>
      </c>
      <c r="I34" s="4">
        <v>24580</v>
      </c>
      <c r="J34" s="2">
        <v>2</v>
      </c>
      <c r="K34" s="2">
        <v>2</v>
      </c>
      <c r="L34" s="2">
        <v>4</v>
      </c>
      <c r="M34" s="2" t="s">
        <v>16</v>
      </c>
      <c r="N34" s="2" t="s">
        <v>17</v>
      </c>
      <c r="O34" s="2" t="s">
        <v>17</v>
      </c>
      <c r="U34" t="str">
        <f>IF(AND(Tab_valori[[#This Row],[Valutazione]]=5,Tab_valori[[#This Row],[Valutazione sull''attenzione all''ambiente della città]]=10),Tab_valori[[#This Row],[Città Airbnb]],"-")</f>
        <v>-</v>
      </c>
    </row>
    <row r="35" spans="1:21" x14ac:dyDescent="0.2">
      <c r="A35" s="2">
        <v>2888</v>
      </c>
      <c r="B35" s="2" t="s">
        <v>99</v>
      </c>
      <c r="C35" s="2" t="s">
        <v>100</v>
      </c>
      <c r="D35" s="3">
        <v>271</v>
      </c>
      <c r="E35" s="2">
        <v>3</v>
      </c>
      <c r="F35" s="3">
        <f>Tab_valori[[#This Row],[Costo a Notte (€)]]*Tab_valori[[#This Row],[Numero Notti]]</f>
        <v>813</v>
      </c>
      <c r="G35" s="3">
        <f>Tab_valori[[#This Row],[Spesa totale per ogni utente ]]/Tab_valori[[#This Row],[Membri della Famiglia]]</f>
        <v>813</v>
      </c>
      <c r="H35" s="2" t="s">
        <v>101</v>
      </c>
      <c r="I35" s="4">
        <v>26644</v>
      </c>
      <c r="J35" s="2">
        <v>1</v>
      </c>
      <c r="K35" s="2">
        <v>1</v>
      </c>
      <c r="L35" s="2">
        <v>2</v>
      </c>
      <c r="M35" s="2" t="s">
        <v>17</v>
      </c>
      <c r="N35" s="2" t="s">
        <v>16</v>
      </c>
      <c r="O35" s="2" t="s">
        <v>16</v>
      </c>
      <c r="U35" t="str">
        <f>IF(AND(Tab_valori[[#This Row],[Valutazione]]=5,Tab_valori[[#This Row],[Valutazione sull''attenzione all''ambiente della città]]=10),Tab_valori[[#This Row],[Città Airbnb]],"-")</f>
        <v>-</v>
      </c>
    </row>
    <row r="36" spans="1:21" x14ac:dyDescent="0.2">
      <c r="A36" s="2">
        <v>4364</v>
      </c>
      <c r="B36" s="2" t="s">
        <v>102</v>
      </c>
      <c r="C36" s="2" t="s">
        <v>103</v>
      </c>
      <c r="D36" s="3">
        <v>167</v>
      </c>
      <c r="E36" s="2">
        <v>9</v>
      </c>
      <c r="F36" s="3">
        <f>Tab_valori[[#This Row],[Costo a Notte (€)]]*Tab_valori[[#This Row],[Numero Notti]]</f>
        <v>1503</v>
      </c>
      <c r="G36" s="3">
        <f>Tab_valori[[#This Row],[Spesa totale per ogni utente ]]/Tab_valori[[#This Row],[Membri della Famiglia]]</f>
        <v>300.60000000000002</v>
      </c>
      <c r="H36" s="2" t="s">
        <v>70</v>
      </c>
      <c r="I36" s="4">
        <v>34011</v>
      </c>
      <c r="J36" s="2">
        <v>5</v>
      </c>
      <c r="K36" s="2">
        <v>5</v>
      </c>
      <c r="L36" s="2">
        <v>2</v>
      </c>
      <c r="M36" s="2" t="s">
        <v>16</v>
      </c>
      <c r="N36" s="2" t="s">
        <v>16</v>
      </c>
      <c r="O36" s="2" t="s">
        <v>16</v>
      </c>
      <c r="U36" t="str">
        <f>IF(AND(Tab_valori[[#This Row],[Valutazione]]=5,Tab_valori[[#This Row],[Valutazione sull''attenzione all''ambiente della città]]=10),Tab_valori[[#This Row],[Città Airbnb]],"-")</f>
        <v>-</v>
      </c>
    </row>
    <row r="37" spans="1:21" x14ac:dyDescent="0.2">
      <c r="A37" s="2">
        <v>3549</v>
      </c>
      <c r="B37" s="2" t="s">
        <v>104</v>
      </c>
      <c r="C37" s="2" t="s">
        <v>103</v>
      </c>
      <c r="D37" s="3">
        <v>148</v>
      </c>
      <c r="E37" s="2">
        <v>7</v>
      </c>
      <c r="F37" s="3">
        <f>Tab_valori[[#This Row],[Costo a Notte (€)]]*Tab_valori[[#This Row],[Numero Notti]]</f>
        <v>1036</v>
      </c>
      <c r="G37" s="3">
        <f>Tab_valori[[#This Row],[Spesa totale per ogni utente ]]/Tab_valori[[#This Row],[Membri della Famiglia]]</f>
        <v>345.33333333333331</v>
      </c>
      <c r="H37" s="2" t="s">
        <v>45</v>
      </c>
      <c r="I37" s="4">
        <v>22980</v>
      </c>
      <c r="J37" s="2">
        <v>3</v>
      </c>
      <c r="K37" s="2">
        <v>1</v>
      </c>
      <c r="L37" s="2">
        <v>4</v>
      </c>
      <c r="M37" s="2" t="s">
        <v>17</v>
      </c>
      <c r="N37" s="2" t="s">
        <v>17</v>
      </c>
      <c r="O37" s="2" t="s">
        <v>16</v>
      </c>
      <c r="U37" t="str">
        <f>IF(AND(Tab_valori[[#This Row],[Valutazione]]=5,Tab_valori[[#This Row],[Valutazione sull''attenzione all''ambiente della città]]=10),Tab_valori[[#This Row],[Città Airbnb]],"-")</f>
        <v>-</v>
      </c>
    </row>
    <row r="38" spans="1:21" x14ac:dyDescent="0.2">
      <c r="A38" s="2">
        <v>3987</v>
      </c>
      <c r="B38" s="2" t="s">
        <v>105</v>
      </c>
      <c r="C38" s="2" t="s">
        <v>106</v>
      </c>
      <c r="D38" s="3">
        <v>87</v>
      </c>
      <c r="E38" s="2">
        <v>3</v>
      </c>
      <c r="F38" s="3">
        <f>Tab_valori[[#This Row],[Costo a Notte (€)]]*Tab_valori[[#This Row],[Numero Notti]]</f>
        <v>261</v>
      </c>
      <c r="G38" s="3">
        <f>Tab_valori[[#This Row],[Spesa totale per ogni utente ]]/Tab_valori[[#This Row],[Membri della Famiglia]]</f>
        <v>130.5</v>
      </c>
      <c r="H38" s="2" t="s">
        <v>82</v>
      </c>
      <c r="I38" s="4">
        <v>23455</v>
      </c>
      <c r="J38" s="2">
        <v>2</v>
      </c>
      <c r="K38" s="2">
        <v>2</v>
      </c>
      <c r="L38" s="2">
        <v>6</v>
      </c>
      <c r="M38" s="2" t="s">
        <v>17</v>
      </c>
      <c r="N38" s="2" t="s">
        <v>17</v>
      </c>
      <c r="O38" s="2" t="s">
        <v>16</v>
      </c>
      <c r="U38" t="str">
        <f>IF(AND(Tab_valori[[#This Row],[Valutazione]]=5,Tab_valori[[#This Row],[Valutazione sull''attenzione all''ambiente della città]]=10),Tab_valori[[#This Row],[Città Airbnb]],"-")</f>
        <v>-</v>
      </c>
    </row>
    <row r="39" spans="1:21" x14ac:dyDescent="0.2">
      <c r="A39" s="2">
        <v>3324</v>
      </c>
      <c r="B39" s="2" t="s">
        <v>107</v>
      </c>
      <c r="C39" s="2" t="s">
        <v>108</v>
      </c>
      <c r="D39" s="3">
        <v>62</v>
      </c>
      <c r="E39" s="2">
        <v>9</v>
      </c>
      <c r="F39" s="3">
        <f>Tab_valori[[#This Row],[Costo a Notte (€)]]*Tab_valori[[#This Row],[Numero Notti]]</f>
        <v>558</v>
      </c>
      <c r="G39" s="3">
        <f>Tab_valori[[#This Row],[Spesa totale per ogni utente ]]/Tab_valori[[#This Row],[Membri della Famiglia]]</f>
        <v>79.714285714285708</v>
      </c>
      <c r="H39" s="2" t="s">
        <v>109</v>
      </c>
      <c r="I39" s="4">
        <v>30833</v>
      </c>
      <c r="J39" s="2">
        <v>7</v>
      </c>
      <c r="K39" s="2">
        <v>3</v>
      </c>
      <c r="L39" s="2">
        <v>0</v>
      </c>
      <c r="M39" s="2" t="s">
        <v>16</v>
      </c>
      <c r="N39" s="2" t="s">
        <v>17</v>
      </c>
      <c r="O39" s="2" t="s">
        <v>17</v>
      </c>
      <c r="U39" t="str">
        <f>IF(AND(Tab_valori[[#This Row],[Valutazione]]=5,Tab_valori[[#This Row],[Valutazione sull''attenzione all''ambiente della città]]=10),Tab_valori[[#This Row],[Città Airbnb]],"-")</f>
        <v>-</v>
      </c>
    </row>
    <row r="40" spans="1:21" x14ac:dyDescent="0.2">
      <c r="A40" s="2">
        <v>5525</v>
      </c>
      <c r="B40" s="2" t="s">
        <v>110</v>
      </c>
      <c r="C40" s="2" t="s">
        <v>111</v>
      </c>
      <c r="D40" s="3">
        <v>66</v>
      </c>
      <c r="E40" s="2">
        <v>5</v>
      </c>
      <c r="F40" s="3">
        <f>Tab_valori[[#This Row],[Costo a Notte (€)]]*Tab_valori[[#This Row],[Numero Notti]]</f>
        <v>330</v>
      </c>
      <c r="G40" s="3">
        <f>Tab_valori[[#This Row],[Spesa totale per ogni utente ]]/Tab_valori[[#This Row],[Membri della Famiglia]]</f>
        <v>47.142857142857146</v>
      </c>
      <c r="H40" s="2" t="s">
        <v>40</v>
      </c>
      <c r="I40" s="4">
        <v>32936</v>
      </c>
      <c r="J40" s="2">
        <v>7</v>
      </c>
      <c r="K40" s="2">
        <v>3</v>
      </c>
      <c r="L40" s="2">
        <v>10</v>
      </c>
      <c r="M40" s="2" t="s">
        <v>17</v>
      </c>
      <c r="N40" s="2" t="s">
        <v>16</v>
      </c>
      <c r="O40" s="2" t="s">
        <v>17</v>
      </c>
      <c r="U40" t="str">
        <f>IF(AND(Tab_valori[[#This Row],[Valutazione]]=5,Tab_valori[[#This Row],[Valutazione sull''attenzione all''ambiente della città]]=10),Tab_valori[[#This Row],[Città Airbnb]],"-")</f>
        <v>-</v>
      </c>
    </row>
    <row r="41" spans="1:21" x14ac:dyDescent="0.2">
      <c r="A41" s="2">
        <v>4712</v>
      </c>
      <c r="B41" s="2" t="s">
        <v>112</v>
      </c>
      <c r="C41" s="5" t="s">
        <v>113</v>
      </c>
      <c r="D41" s="3">
        <v>240</v>
      </c>
      <c r="E41" s="2">
        <v>8</v>
      </c>
      <c r="F41" s="3">
        <f>Tab_valori[[#This Row],[Costo a Notte (€)]]*Tab_valori[[#This Row],[Numero Notti]]</f>
        <v>1920</v>
      </c>
      <c r="G41" s="3">
        <f>Tab_valori[[#This Row],[Spesa totale per ogni utente ]]/Tab_valori[[#This Row],[Membri della Famiglia]]</f>
        <v>1920</v>
      </c>
      <c r="H41" s="2" t="s">
        <v>40</v>
      </c>
      <c r="I41" s="4">
        <v>23639</v>
      </c>
      <c r="J41" s="2">
        <v>1</v>
      </c>
      <c r="K41" s="2">
        <v>4</v>
      </c>
      <c r="L41" s="2">
        <v>0</v>
      </c>
      <c r="M41" s="2" t="s">
        <v>17</v>
      </c>
      <c r="N41" s="2" t="s">
        <v>16</v>
      </c>
      <c r="O41" s="2" t="s">
        <v>17</v>
      </c>
      <c r="U41" t="str">
        <f>IF(AND(Tab_valori[[#This Row],[Valutazione]]=5,Tab_valori[[#This Row],[Valutazione sull''attenzione all''ambiente della città]]=10),Tab_valori[[#This Row],[Città Airbnb]],"-")</f>
        <v>-</v>
      </c>
    </row>
    <row r="42" spans="1:21" x14ac:dyDescent="0.2">
      <c r="A42" s="2">
        <v>3474</v>
      </c>
      <c r="B42" s="2" t="s">
        <v>114</v>
      </c>
      <c r="C42" s="2" t="s">
        <v>115</v>
      </c>
      <c r="D42" s="3">
        <v>285</v>
      </c>
      <c r="E42" s="2">
        <v>4</v>
      </c>
      <c r="F42" s="3">
        <f>Tab_valori[[#This Row],[Costo a Notte (€)]]*Tab_valori[[#This Row],[Numero Notti]]</f>
        <v>1140</v>
      </c>
      <c r="G42" s="3">
        <f>Tab_valori[[#This Row],[Spesa totale per ogni utente ]]/Tab_valori[[#This Row],[Membri della Famiglia]]</f>
        <v>570</v>
      </c>
      <c r="H42" s="2" t="s">
        <v>91</v>
      </c>
      <c r="I42" s="4">
        <v>29550</v>
      </c>
      <c r="J42" s="2">
        <v>2</v>
      </c>
      <c r="K42" s="2">
        <v>5</v>
      </c>
      <c r="L42" s="2">
        <v>9</v>
      </c>
      <c r="M42" s="2" t="s">
        <v>17</v>
      </c>
      <c r="N42" s="2" t="s">
        <v>16</v>
      </c>
      <c r="O42" s="2" t="s">
        <v>16</v>
      </c>
      <c r="U42" t="str">
        <f>IF(AND(Tab_valori[[#This Row],[Valutazione]]=5,Tab_valori[[#This Row],[Valutazione sull''attenzione all''ambiente della città]]=10),Tab_valori[[#This Row],[Città Airbnb]],"-")</f>
        <v>-</v>
      </c>
    </row>
    <row r="43" spans="1:21" x14ac:dyDescent="0.2">
      <c r="A43" s="2">
        <v>2800</v>
      </c>
      <c r="B43" s="2" t="s">
        <v>116</v>
      </c>
      <c r="C43" s="2" t="s">
        <v>117</v>
      </c>
      <c r="D43" s="3">
        <v>101</v>
      </c>
      <c r="E43" s="2">
        <v>8</v>
      </c>
      <c r="F43" s="3">
        <f>Tab_valori[[#This Row],[Costo a Notte (€)]]*Tab_valori[[#This Row],[Numero Notti]]</f>
        <v>808</v>
      </c>
      <c r="G43" s="3">
        <f>Tab_valori[[#This Row],[Spesa totale per ogni utente ]]/Tab_valori[[#This Row],[Membri della Famiglia]]</f>
        <v>202</v>
      </c>
      <c r="H43" s="2" t="s">
        <v>40</v>
      </c>
      <c r="I43" s="4">
        <v>21855</v>
      </c>
      <c r="J43" s="2">
        <v>4</v>
      </c>
      <c r="K43" s="2">
        <v>1</v>
      </c>
      <c r="L43" s="2">
        <v>0</v>
      </c>
      <c r="M43" s="2" t="s">
        <v>17</v>
      </c>
      <c r="N43" s="2" t="s">
        <v>17</v>
      </c>
      <c r="O43" s="2" t="s">
        <v>17</v>
      </c>
      <c r="U43" t="str">
        <f>IF(AND(Tab_valori[[#This Row],[Valutazione]]=5,Tab_valori[[#This Row],[Valutazione sull''attenzione all''ambiente della città]]=10),Tab_valori[[#This Row],[Città Airbnb]],"-")</f>
        <v>-</v>
      </c>
    </row>
    <row r="44" spans="1:21" x14ac:dyDescent="0.2">
      <c r="A44" s="2">
        <v>3527</v>
      </c>
      <c r="B44" s="2" t="s">
        <v>118</v>
      </c>
      <c r="C44" s="2" t="s">
        <v>119</v>
      </c>
      <c r="D44" s="3">
        <v>94</v>
      </c>
      <c r="E44" s="2">
        <v>6</v>
      </c>
      <c r="F44" s="3">
        <f>Tab_valori[[#This Row],[Costo a Notte (€)]]*Tab_valori[[#This Row],[Numero Notti]]</f>
        <v>564</v>
      </c>
      <c r="G44" s="3">
        <f>Tab_valori[[#This Row],[Spesa totale per ogni utente ]]/Tab_valori[[#This Row],[Membri della Famiglia]]</f>
        <v>80.571428571428569</v>
      </c>
      <c r="H44" s="2" t="s">
        <v>82</v>
      </c>
      <c r="I44" s="4">
        <v>25895</v>
      </c>
      <c r="J44" s="2">
        <v>7</v>
      </c>
      <c r="K44" s="2">
        <v>1</v>
      </c>
      <c r="L44" s="2">
        <v>0</v>
      </c>
      <c r="M44" s="2" t="s">
        <v>16</v>
      </c>
      <c r="N44" s="2" t="s">
        <v>16</v>
      </c>
      <c r="O44" s="2" t="s">
        <v>16</v>
      </c>
      <c r="U44" t="str">
        <f>IF(AND(Tab_valori[[#This Row],[Valutazione]]=5,Tab_valori[[#This Row],[Valutazione sull''attenzione all''ambiente della città]]=10),Tab_valori[[#This Row],[Città Airbnb]],"-")</f>
        <v>-</v>
      </c>
    </row>
    <row r="45" spans="1:21" x14ac:dyDescent="0.2">
      <c r="A45" s="2">
        <v>4768</v>
      </c>
      <c r="B45" s="2" t="s">
        <v>120</v>
      </c>
      <c r="C45" s="2" t="s">
        <v>121</v>
      </c>
      <c r="D45" s="3">
        <v>22</v>
      </c>
      <c r="E45" s="2">
        <v>6</v>
      </c>
      <c r="F45" s="3">
        <f>Tab_valori[[#This Row],[Costo a Notte (€)]]*Tab_valori[[#This Row],[Numero Notti]]</f>
        <v>132</v>
      </c>
      <c r="G45" s="3">
        <f>Tab_valori[[#This Row],[Spesa totale per ogni utente ]]/Tab_valori[[#This Row],[Membri della Famiglia]]</f>
        <v>33</v>
      </c>
      <c r="H45" s="2" t="s">
        <v>48</v>
      </c>
      <c r="I45" s="4">
        <v>31635</v>
      </c>
      <c r="J45" s="2">
        <v>4</v>
      </c>
      <c r="K45" s="2">
        <v>3</v>
      </c>
      <c r="L45" s="2">
        <v>3</v>
      </c>
      <c r="M45" s="2" t="s">
        <v>17</v>
      </c>
      <c r="N45" s="2" t="s">
        <v>17</v>
      </c>
      <c r="O45" s="2" t="s">
        <v>16</v>
      </c>
      <c r="U45" t="str">
        <f>IF(AND(Tab_valori[[#This Row],[Valutazione]]=5,Tab_valori[[#This Row],[Valutazione sull''attenzione all''ambiente della città]]=10),Tab_valori[[#This Row],[Città Airbnb]],"-")</f>
        <v>-</v>
      </c>
    </row>
    <row r="46" spans="1:21" x14ac:dyDescent="0.2">
      <c r="A46" s="2">
        <v>2792</v>
      </c>
      <c r="B46" s="2" t="s">
        <v>122</v>
      </c>
      <c r="C46" s="2" t="s">
        <v>123</v>
      </c>
      <c r="D46" s="3">
        <v>177</v>
      </c>
      <c r="E46" s="2">
        <v>3</v>
      </c>
      <c r="F46" s="3">
        <f>Tab_valori[[#This Row],[Costo a Notte (€)]]*Tab_valori[[#This Row],[Numero Notti]]</f>
        <v>531</v>
      </c>
      <c r="G46" s="3">
        <f>Tab_valori[[#This Row],[Spesa totale per ogni utente ]]/Tab_valori[[#This Row],[Membri della Famiglia]]</f>
        <v>75.857142857142861</v>
      </c>
      <c r="H46" s="2" t="s">
        <v>124</v>
      </c>
      <c r="I46" s="4">
        <v>20320</v>
      </c>
      <c r="J46" s="2">
        <v>7</v>
      </c>
      <c r="K46" s="2">
        <v>4</v>
      </c>
      <c r="L46" s="2">
        <v>1</v>
      </c>
      <c r="M46" s="2" t="s">
        <v>17</v>
      </c>
      <c r="N46" s="2" t="s">
        <v>17</v>
      </c>
      <c r="O46" s="2" t="s">
        <v>17</v>
      </c>
      <c r="U46" t="str">
        <f>IF(AND(Tab_valori[[#This Row],[Valutazione]]=5,Tab_valori[[#This Row],[Valutazione sull''attenzione all''ambiente della città]]=10),Tab_valori[[#This Row],[Città Airbnb]],"-")</f>
        <v>-</v>
      </c>
    </row>
    <row r="47" spans="1:21" x14ac:dyDescent="0.2">
      <c r="A47" s="2">
        <v>4511</v>
      </c>
      <c r="B47" s="2" t="s">
        <v>125</v>
      </c>
      <c r="C47" s="2" t="s">
        <v>126</v>
      </c>
      <c r="D47" s="3">
        <v>151</v>
      </c>
      <c r="E47" s="2">
        <v>9</v>
      </c>
      <c r="F47" s="3">
        <f>Tab_valori[[#This Row],[Costo a Notte (€)]]*Tab_valori[[#This Row],[Numero Notti]]</f>
        <v>1359</v>
      </c>
      <c r="G47" s="3">
        <f>Tab_valori[[#This Row],[Spesa totale per ogni utente ]]/Tab_valori[[#This Row],[Membri della Famiglia]]</f>
        <v>339.75</v>
      </c>
      <c r="H47" s="2" t="s">
        <v>127</v>
      </c>
      <c r="I47" s="4">
        <v>23122</v>
      </c>
      <c r="J47" s="2">
        <v>4</v>
      </c>
      <c r="K47" s="2">
        <v>4</v>
      </c>
      <c r="L47" s="2">
        <v>0</v>
      </c>
      <c r="M47" s="2" t="s">
        <v>16</v>
      </c>
      <c r="N47" s="2" t="s">
        <v>16</v>
      </c>
      <c r="O47" s="2" t="s">
        <v>16</v>
      </c>
      <c r="U47" t="str">
        <f>IF(AND(Tab_valori[[#This Row],[Valutazione]]=5,Tab_valori[[#This Row],[Valutazione sull''attenzione all''ambiente della città]]=10),Tab_valori[[#This Row],[Città Airbnb]],"-")</f>
        <v>-</v>
      </c>
    </row>
    <row r="48" spans="1:21" x14ac:dyDescent="0.2">
      <c r="A48" s="2">
        <v>3746</v>
      </c>
      <c r="B48" s="2" t="s">
        <v>128</v>
      </c>
      <c r="C48" s="2" t="s">
        <v>129</v>
      </c>
      <c r="D48" s="3">
        <v>33</v>
      </c>
      <c r="E48" s="2">
        <v>9</v>
      </c>
      <c r="F48" s="3">
        <f>Tab_valori[[#This Row],[Costo a Notte (€)]]*Tab_valori[[#This Row],[Numero Notti]]</f>
        <v>297</v>
      </c>
      <c r="G48" s="3">
        <f>Tab_valori[[#This Row],[Spesa totale per ogni utente ]]/Tab_valori[[#This Row],[Membri della Famiglia]]</f>
        <v>74.25</v>
      </c>
      <c r="H48" s="2" t="s">
        <v>130</v>
      </c>
      <c r="I48" s="4">
        <v>22429</v>
      </c>
      <c r="J48" s="2">
        <v>4</v>
      </c>
      <c r="K48" s="2">
        <v>4</v>
      </c>
      <c r="L48" s="2">
        <v>4</v>
      </c>
      <c r="M48" s="2" t="s">
        <v>17</v>
      </c>
      <c r="N48" s="2" t="s">
        <v>17</v>
      </c>
      <c r="O48" s="2" t="s">
        <v>16</v>
      </c>
      <c r="U48" t="str">
        <f>IF(AND(Tab_valori[[#This Row],[Valutazione]]=5,Tab_valori[[#This Row],[Valutazione sull''attenzione all''ambiente della città]]=10),Tab_valori[[#This Row],[Città Airbnb]],"-")</f>
        <v>-</v>
      </c>
    </row>
    <row r="49" spans="1:21" x14ac:dyDescent="0.2">
      <c r="A49" s="2">
        <v>5552</v>
      </c>
      <c r="B49" s="2" t="s">
        <v>131</v>
      </c>
      <c r="C49" s="2" t="s">
        <v>132</v>
      </c>
      <c r="D49" s="3">
        <v>199</v>
      </c>
      <c r="E49" s="2">
        <v>6</v>
      </c>
      <c r="F49" s="3">
        <f>Tab_valori[[#This Row],[Costo a Notte (€)]]*Tab_valori[[#This Row],[Numero Notti]]</f>
        <v>1194</v>
      </c>
      <c r="G49" s="3">
        <f>Tab_valori[[#This Row],[Spesa totale per ogni utente ]]/Tab_valori[[#This Row],[Membri della Famiglia]]</f>
        <v>238.8</v>
      </c>
      <c r="H49" s="2" t="s">
        <v>63</v>
      </c>
      <c r="I49" s="4">
        <v>22603</v>
      </c>
      <c r="J49" s="2">
        <v>5</v>
      </c>
      <c r="K49" s="2">
        <v>1</v>
      </c>
      <c r="L49" s="2">
        <v>2</v>
      </c>
      <c r="M49" s="2" t="s">
        <v>17</v>
      </c>
      <c r="N49" s="2" t="s">
        <v>17</v>
      </c>
      <c r="O49" s="2" t="s">
        <v>16</v>
      </c>
      <c r="U49" t="str">
        <f>IF(AND(Tab_valori[[#This Row],[Valutazione]]=5,Tab_valori[[#This Row],[Valutazione sull''attenzione all''ambiente della città]]=10),Tab_valori[[#This Row],[Città Airbnb]],"-")</f>
        <v>-</v>
      </c>
    </row>
    <row r="50" spans="1:21" x14ac:dyDescent="0.2">
      <c r="A50" s="2">
        <v>3875</v>
      </c>
      <c r="B50" s="2" t="s">
        <v>133</v>
      </c>
      <c r="C50" s="2" t="s">
        <v>134</v>
      </c>
      <c r="D50" s="3">
        <v>255</v>
      </c>
      <c r="E50" s="2">
        <v>3</v>
      </c>
      <c r="F50" s="3">
        <f>Tab_valori[[#This Row],[Costo a Notte (€)]]*Tab_valori[[#This Row],[Numero Notti]]</f>
        <v>765</v>
      </c>
      <c r="G50" s="3">
        <f>Tab_valori[[#This Row],[Spesa totale per ogni utente ]]/Tab_valori[[#This Row],[Membri della Famiglia]]</f>
        <v>191.25</v>
      </c>
      <c r="H50" s="2" t="s">
        <v>101</v>
      </c>
      <c r="I50" s="4">
        <v>30127</v>
      </c>
      <c r="J50" s="2">
        <v>4</v>
      </c>
      <c r="K50" s="2">
        <v>3</v>
      </c>
      <c r="L50" s="2">
        <v>2</v>
      </c>
      <c r="M50" s="2" t="s">
        <v>17</v>
      </c>
      <c r="N50" s="2" t="s">
        <v>17</v>
      </c>
      <c r="O50" s="2" t="s">
        <v>17</v>
      </c>
      <c r="U50" t="str">
        <f>IF(AND(Tab_valori[[#This Row],[Valutazione]]=5,Tab_valori[[#This Row],[Valutazione sull''attenzione all''ambiente della città]]=10),Tab_valori[[#This Row],[Città Airbnb]],"-")</f>
        <v>-</v>
      </c>
    </row>
    <row r="51" spans="1:21" x14ac:dyDescent="0.2">
      <c r="A51" s="2">
        <v>4732</v>
      </c>
      <c r="B51" s="2" t="s">
        <v>135</v>
      </c>
      <c r="C51" s="2" t="s">
        <v>136</v>
      </c>
      <c r="D51" s="3">
        <v>28</v>
      </c>
      <c r="E51" s="2">
        <v>1</v>
      </c>
      <c r="F51" s="3">
        <f>Tab_valori[[#This Row],[Costo a Notte (€)]]*Tab_valori[[#This Row],[Numero Notti]]</f>
        <v>28</v>
      </c>
      <c r="G51" s="3">
        <f>Tab_valori[[#This Row],[Spesa totale per ogni utente ]]/Tab_valori[[#This Row],[Membri della Famiglia]]</f>
        <v>14</v>
      </c>
      <c r="H51" s="2" t="s">
        <v>137</v>
      </c>
      <c r="I51" s="4">
        <v>23797</v>
      </c>
      <c r="J51" s="2">
        <v>2</v>
      </c>
      <c r="K51" s="2">
        <v>5</v>
      </c>
      <c r="L51" s="2">
        <v>10</v>
      </c>
      <c r="M51" s="2" t="s">
        <v>17</v>
      </c>
      <c r="N51" s="2" t="s">
        <v>17</v>
      </c>
      <c r="O51" s="2" t="s">
        <v>17</v>
      </c>
      <c r="U51" t="str">
        <f>IF(AND(Tab_valori[[#This Row],[Valutazione]]=5,Tab_valori[[#This Row],[Valutazione sull''attenzione all''ambiente della città]]=10),Tab_valori[[#This Row],[Città Airbnb]],"-")</f>
        <v>Thabazimbi</v>
      </c>
    </row>
    <row r="52" spans="1:21" x14ac:dyDescent="0.2">
      <c r="A52" s="2">
        <v>4316</v>
      </c>
      <c r="B52" s="2" t="s">
        <v>138</v>
      </c>
      <c r="C52" s="2" t="s">
        <v>139</v>
      </c>
      <c r="D52" s="3">
        <v>72</v>
      </c>
      <c r="E52" s="2">
        <v>2</v>
      </c>
      <c r="F52" s="3">
        <f>Tab_valori[[#This Row],[Costo a Notte (€)]]*Tab_valori[[#This Row],[Numero Notti]]</f>
        <v>144</v>
      </c>
      <c r="G52" s="3">
        <f>Tab_valori[[#This Row],[Spesa totale per ogni utente ]]/Tab_valori[[#This Row],[Membri della Famiglia]]</f>
        <v>72</v>
      </c>
      <c r="H52" s="2" t="s">
        <v>109</v>
      </c>
      <c r="I52" s="4">
        <v>27788</v>
      </c>
      <c r="J52" s="2">
        <v>2</v>
      </c>
      <c r="K52" s="2">
        <v>2</v>
      </c>
      <c r="L52" s="2">
        <v>2</v>
      </c>
      <c r="M52" s="2" t="s">
        <v>16</v>
      </c>
      <c r="N52" s="2" t="s">
        <v>16</v>
      </c>
      <c r="O52" s="2" t="s">
        <v>17</v>
      </c>
      <c r="U52" t="str">
        <f>IF(AND(Tab_valori[[#This Row],[Valutazione]]=5,Tab_valori[[#This Row],[Valutazione sull''attenzione all''ambiente della città]]=10),Tab_valori[[#This Row],[Città Airbnb]],"-")</f>
        <v>-</v>
      </c>
    </row>
    <row r="53" spans="1:21" x14ac:dyDescent="0.2">
      <c r="A53" s="2">
        <v>5232</v>
      </c>
      <c r="B53" s="2" t="s">
        <v>140</v>
      </c>
      <c r="C53" s="2" t="s">
        <v>141</v>
      </c>
      <c r="D53" s="3">
        <v>253</v>
      </c>
      <c r="E53" s="2">
        <v>5</v>
      </c>
      <c r="F53" s="3">
        <f>Tab_valori[[#This Row],[Costo a Notte (€)]]*Tab_valori[[#This Row],[Numero Notti]]</f>
        <v>1265</v>
      </c>
      <c r="G53" s="3">
        <f>Tab_valori[[#This Row],[Spesa totale per ogni utente ]]/Tab_valori[[#This Row],[Membri della Famiglia]]</f>
        <v>180.71428571428572</v>
      </c>
      <c r="H53" s="2" t="s">
        <v>142</v>
      </c>
      <c r="I53" s="4">
        <v>21768</v>
      </c>
      <c r="J53" s="2">
        <v>7</v>
      </c>
      <c r="K53" s="2">
        <v>1</v>
      </c>
      <c r="L53" s="2">
        <v>2</v>
      </c>
      <c r="M53" s="2" t="s">
        <v>16</v>
      </c>
      <c r="N53" s="2" t="s">
        <v>17</v>
      </c>
      <c r="O53" s="2" t="s">
        <v>16</v>
      </c>
      <c r="U53" t="str">
        <f>IF(AND(Tab_valori[[#This Row],[Valutazione]]=5,Tab_valori[[#This Row],[Valutazione sull''attenzione all''ambiente della città]]=10),Tab_valori[[#This Row],[Città Airbnb]],"-")</f>
        <v>-</v>
      </c>
    </row>
    <row r="54" spans="1:21" x14ac:dyDescent="0.2">
      <c r="A54" s="2">
        <v>3637</v>
      </c>
      <c r="B54" s="2" t="s">
        <v>143</v>
      </c>
      <c r="C54" s="2" t="s">
        <v>144</v>
      </c>
      <c r="D54" s="3">
        <v>161</v>
      </c>
      <c r="E54" s="2">
        <v>10</v>
      </c>
      <c r="F54" s="3">
        <f>Tab_valori[[#This Row],[Costo a Notte (€)]]*Tab_valori[[#This Row],[Numero Notti]]</f>
        <v>1610</v>
      </c>
      <c r="G54" s="3">
        <f>Tab_valori[[#This Row],[Spesa totale per ogni utente ]]/Tab_valori[[#This Row],[Membri della Famiglia]]</f>
        <v>322</v>
      </c>
      <c r="H54" s="2" t="s">
        <v>26</v>
      </c>
      <c r="I54" s="4">
        <v>32311</v>
      </c>
      <c r="J54" s="2">
        <v>5</v>
      </c>
      <c r="K54" s="2">
        <v>2</v>
      </c>
      <c r="L54" s="2">
        <v>4</v>
      </c>
      <c r="M54" s="2" t="s">
        <v>16</v>
      </c>
      <c r="N54" s="2" t="s">
        <v>17</v>
      </c>
      <c r="O54" s="2" t="s">
        <v>17</v>
      </c>
      <c r="U54" t="str">
        <f>IF(AND(Tab_valori[[#This Row],[Valutazione]]=5,Tab_valori[[#This Row],[Valutazione sull''attenzione all''ambiente della città]]=10),Tab_valori[[#This Row],[Città Airbnb]],"-")</f>
        <v>-</v>
      </c>
    </row>
    <row r="55" spans="1:21" x14ac:dyDescent="0.2">
      <c r="A55" s="2">
        <v>4673</v>
      </c>
      <c r="B55" s="2" t="s">
        <v>145</v>
      </c>
      <c r="C55" s="2" t="s">
        <v>146</v>
      </c>
      <c r="D55" s="3">
        <v>73</v>
      </c>
      <c r="E55" s="2">
        <v>4</v>
      </c>
      <c r="F55" s="3">
        <f>Tab_valori[[#This Row],[Costo a Notte (€)]]*Tab_valori[[#This Row],[Numero Notti]]</f>
        <v>292</v>
      </c>
      <c r="G55" s="3">
        <f>Tab_valori[[#This Row],[Spesa totale per ogni utente ]]/Tab_valori[[#This Row],[Membri della Famiglia]]</f>
        <v>41.714285714285715</v>
      </c>
      <c r="H55" s="2" t="s">
        <v>147</v>
      </c>
      <c r="I55" s="4">
        <v>29893</v>
      </c>
      <c r="J55" s="2">
        <v>7</v>
      </c>
      <c r="K55" s="2">
        <v>3</v>
      </c>
      <c r="L55" s="2">
        <v>3</v>
      </c>
      <c r="M55" s="2" t="s">
        <v>16</v>
      </c>
      <c r="N55" s="2" t="s">
        <v>16</v>
      </c>
      <c r="O55" s="2" t="s">
        <v>17</v>
      </c>
      <c r="U55" t="str">
        <f>IF(AND(Tab_valori[[#This Row],[Valutazione]]=5,Tab_valori[[#This Row],[Valutazione sull''attenzione all''ambiente della città]]=10),Tab_valori[[#This Row],[Città Airbnb]],"-")</f>
        <v>-</v>
      </c>
    </row>
    <row r="56" spans="1:21" x14ac:dyDescent="0.2">
      <c r="A56" s="2">
        <v>4699</v>
      </c>
      <c r="B56" s="2" t="s">
        <v>148</v>
      </c>
      <c r="C56" s="2" t="s">
        <v>149</v>
      </c>
      <c r="D56" s="3">
        <v>71</v>
      </c>
      <c r="E56" s="2">
        <v>5</v>
      </c>
      <c r="F56" s="3">
        <f>Tab_valori[[#This Row],[Costo a Notte (€)]]*Tab_valori[[#This Row],[Numero Notti]]</f>
        <v>355</v>
      </c>
      <c r="G56" s="3">
        <f>Tab_valori[[#This Row],[Spesa totale per ogni utente ]]/Tab_valori[[#This Row],[Membri della Famiglia]]</f>
        <v>50.714285714285715</v>
      </c>
      <c r="H56" s="2" t="s">
        <v>23</v>
      </c>
      <c r="I56" s="4">
        <v>20360</v>
      </c>
      <c r="J56" s="2">
        <v>7</v>
      </c>
      <c r="K56" s="2">
        <v>3</v>
      </c>
      <c r="L56" s="2">
        <v>7</v>
      </c>
      <c r="M56" s="2" t="s">
        <v>17</v>
      </c>
      <c r="N56" s="2" t="s">
        <v>17</v>
      </c>
      <c r="O56" s="2" t="s">
        <v>16</v>
      </c>
      <c r="U56" t="str">
        <f>IF(AND(Tab_valori[[#This Row],[Valutazione]]=5,Tab_valori[[#This Row],[Valutazione sull''attenzione all''ambiente della città]]=10),Tab_valori[[#This Row],[Città Airbnb]],"-")</f>
        <v>-</v>
      </c>
    </row>
    <row r="57" spans="1:21" x14ac:dyDescent="0.2">
      <c r="A57" s="2">
        <v>2412</v>
      </c>
      <c r="B57" s="2" t="s">
        <v>150</v>
      </c>
      <c r="C57" s="2" t="s">
        <v>151</v>
      </c>
      <c r="D57" s="3">
        <v>178</v>
      </c>
      <c r="E57" s="2">
        <v>1</v>
      </c>
      <c r="F57" s="3">
        <f>Tab_valori[[#This Row],[Costo a Notte (€)]]*Tab_valori[[#This Row],[Numero Notti]]</f>
        <v>178</v>
      </c>
      <c r="G57" s="3">
        <f>Tab_valori[[#This Row],[Spesa totale per ogni utente ]]/Tab_valori[[#This Row],[Membri della Famiglia]]</f>
        <v>35.6</v>
      </c>
      <c r="H57" s="2" t="s">
        <v>40</v>
      </c>
      <c r="I57" s="4">
        <v>32649</v>
      </c>
      <c r="J57" s="2">
        <v>5</v>
      </c>
      <c r="K57" s="2">
        <v>5</v>
      </c>
      <c r="L57" s="2">
        <v>0</v>
      </c>
      <c r="M57" s="2" t="s">
        <v>16</v>
      </c>
      <c r="N57" s="2" t="s">
        <v>17</v>
      </c>
      <c r="O57" s="2" t="s">
        <v>17</v>
      </c>
      <c r="U57" t="str">
        <f>IF(AND(Tab_valori[[#This Row],[Valutazione]]=5,Tab_valori[[#This Row],[Valutazione sull''attenzione all''ambiente della città]]=10),Tab_valori[[#This Row],[Città Airbnb]],"-")</f>
        <v>-</v>
      </c>
    </row>
    <row r="58" spans="1:21" x14ac:dyDescent="0.2">
      <c r="A58" s="2">
        <v>5019</v>
      </c>
      <c r="B58" s="2" t="s">
        <v>152</v>
      </c>
      <c r="C58" s="2" t="s">
        <v>153</v>
      </c>
      <c r="D58" s="3">
        <v>121</v>
      </c>
      <c r="E58" s="2">
        <v>5</v>
      </c>
      <c r="F58" s="3">
        <f>Tab_valori[[#This Row],[Costo a Notte (€)]]*Tab_valori[[#This Row],[Numero Notti]]</f>
        <v>605</v>
      </c>
      <c r="G58" s="3">
        <f>Tab_valori[[#This Row],[Spesa totale per ogni utente ]]/Tab_valori[[#This Row],[Membri della Famiglia]]</f>
        <v>121</v>
      </c>
      <c r="H58" s="2" t="s">
        <v>73</v>
      </c>
      <c r="I58" s="4">
        <v>23236</v>
      </c>
      <c r="J58" s="2">
        <v>5</v>
      </c>
      <c r="K58" s="2">
        <v>5</v>
      </c>
      <c r="L58" s="2">
        <v>8</v>
      </c>
      <c r="M58" s="2" t="s">
        <v>16</v>
      </c>
      <c r="N58" s="2" t="s">
        <v>17</v>
      </c>
      <c r="O58" s="2" t="s">
        <v>16</v>
      </c>
      <c r="U58" t="str">
        <f>IF(AND(Tab_valori[[#This Row],[Valutazione]]=5,Tab_valori[[#This Row],[Valutazione sull''attenzione all''ambiente della città]]=10),Tab_valori[[#This Row],[Città Airbnb]],"-")</f>
        <v>-</v>
      </c>
    </row>
    <row r="59" spans="1:21" x14ac:dyDescent="0.2">
      <c r="A59" s="2">
        <v>4590</v>
      </c>
      <c r="B59" s="2" t="s">
        <v>154</v>
      </c>
      <c r="C59" s="2" t="s">
        <v>155</v>
      </c>
      <c r="D59" s="3">
        <v>119</v>
      </c>
      <c r="E59" s="2">
        <v>7</v>
      </c>
      <c r="F59" s="3">
        <f>Tab_valori[[#This Row],[Costo a Notte (€)]]*Tab_valori[[#This Row],[Numero Notti]]</f>
        <v>833</v>
      </c>
      <c r="G59" s="3">
        <f>Tab_valori[[#This Row],[Spesa totale per ogni utente ]]/Tab_valori[[#This Row],[Membri della Famiglia]]</f>
        <v>208.25</v>
      </c>
      <c r="H59" s="2" t="s">
        <v>15</v>
      </c>
      <c r="I59" s="4">
        <v>29545</v>
      </c>
      <c r="J59" s="2">
        <v>4</v>
      </c>
      <c r="K59" s="2">
        <v>2</v>
      </c>
      <c r="L59" s="2">
        <v>3</v>
      </c>
      <c r="M59" s="2" t="s">
        <v>16</v>
      </c>
      <c r="N59" s="2" t="s">
        <v>17</v>
      </c>
      <c r="O59" s="2" t="s">
        <v>16</v>
      </c>
      <c r="U59" t="str">
        <f>IF(AND(Tab_valori[[#This Row],[Valutazione]]=5,Tab_valori[[#This Row],[Valutazione sull''attenzione all''ambiente della città]]=10),Tab_valori[[#This Row],[Città Airbnb]],"-")</f>
        <v>-</v>
      </c>
    </row>
    <row r="60" spans="1:21" x14ac:dyDescent="0.2">
      <c r="A60" s="2">
        <v>2713</v>
      </c>
      <c r="B60" s="2" t="s">
        <v>156</v>
      </c>
      <c r="C60" s="2" t="s">
        <v>157</v>
      </c>
      <c r="D60" s="3">
        <v>40</v>
      </c>
      <c r="E60" s="2">
        <v>7</v>
      </c>
      <c r="F60" s="3">
        <f>Tab_valori[[#This Row],[Costo a Notte (€)]]*Tab_valori[[#This Row],[Numero Notti]]</f>
        <v>280</v>
      </c>
      <c r="G60" s="3">
        <f>Tab_valori[[#This Row],[Spesa totale per ogni utente ]]/Tab_valori[[#This Row],[Membri della Famiglia]]</f>
        <v>140</v>
      </c>
      <c r="H60" s="2" t="s">
        <v>45</v>
      </c>
      <c r="I60" s="4">
        <v>33204</v>
      </c>
      <c r="J60" s="2">
        <v>2</v>
      </c>
      <c r="K60" s="2">
        <v>2</v>
      </c>
      <c r="L60" s="2">
        <v>1</v>
      </c>
      <c r="M60" s="2" t="s">
        <v>16</v>
      </c>
      <c r="N60" s="2" t="s">
        <v>16</v>
      </c>
      <c r="O60" s="2" t="s">
        <v>16</v>
      </c>
      <c r="U60" t="str">
        <f>IF(AND(Tab_valori[[#This Row],[Valutazione]]=5,Tab_valori[[#This Row],[Valutazione sull''attenzione all''ambiente della città]]=10),Tab_valori[[#This Row],[Città Airbnb]],"-")</f>
        <v>-</v>
      </c>
    </row>
    <row r="61" spans="1:21" x14ac:dyDescent="0.2">
      <c r="A61" s="2">
        <v>2766</v>
      </c>
      <c r="B61" s="2" t="s">
        <v>158</v>
      </c>
      <c r="C61" s="2" t="s">
        <v>159</v>
      </c>
      <c r="D61" s="3">
        <v>140</v>
      </c>
      <c r="E61" s="2">
        <v>2</v>
      </c>
      <c r="F61" s="3">
        <f>Tab_valori[[#This Row],[Costo a Notte (€)]]*Tab_valori[[#This Row],[Numero Notti]]</f>
        <v>280</v>
      </c>
      <c r="G61" s="3">
        <f>Tab_valori[[#This Row],[Spesa totale per ogni utente ]]/Tab_valori[[#This Row],[Membri della Famiglia]]</f>
        <v>280</v>
      </c>
      <c r="H61" s="2" t="s">
        <v>101</v>
      </c>
      <c r="I61" s="4">
        <v>30986</v>
      </c>
      <c r="J61" s="2">
        <v>1</v>
      </c>
      <c r="K61" s="2">
        <v>2</v>
      </c>
      <c r="L61" s="2">
        <v>1</v>
      </c>
      <c r="M61" s="2" t="s">
        <v>17</v>
      </c>
      <c r="N61" s="2" t="s">
        <v>16</v>
      </c>
      <c r="O61" s="2" t="s">
        <v>16</v>
      </c>
      <c r="U61" t="str">
        <f>IF(AND(Tab_valori[[#This Row],[Valutazione]]=5,Tab_valori[[#This Row],[Valutazione sull''attenzione all''ambiente della città]]=10),Tab_valori[[#This Row],[Città Airbnb]],"-")</f>
        <v>-</v>
      </c>
    </row>
    <row r="62" spans="1:21" x14ac:dyDescent="0.2">
      <c r="A62" s="2">
        <v>2523</v>
      </c>
      <c r="B62" s="2" t="s">
        <v>160</v>
      </c>
      <c r="C62" s="2" t="s">
        <v>161</v>
      </c>
      <c r="D62" s="3">
        <v>139</v>
      </c>
      <c r="E62" s="2">
        <v>8</v>
      </c>
      <c r="F62" s="3">
        <f>Tab_valori[[#This Row],[Costo a Notte (€)]]*Tab_valori[[#This Row],[Numero Notti]]</f>
        <v>1112</v>
      </c>
      <c r="G62" s="3">
        <f>Tab_valori[[#This Row],[Spesa totale per ogni utente ]]/Tab_valori[[#This Row],[Membri della Famiglia]]</f>
        <v>556</v>
      </c>
      <c r="H62" s="2" t="s">
        <v>23</v>
      </c>
      <c r="I62" s="4">
        <v>33127</v>
      </c>
      <c r="J62" s="2">
        <v>2</v>
      </c>
      <c r="K62" s="2">
        <v>2</v>
      </c>
      <c r="L62" s="2">
        <v>4</v>
      </c>
      <c r="M62" s="2" t="s">
        <v>17</v>
      </c>
      <c r="N62" s="2" t="s">
        <v>16</v>
      </c>
      <c r="O62" s="2" t="s">
        <v>17</v>
      </c>
      <c r="U62" t="str">
        <f>IF(AND(Tab_valori[[#This Row],[Valutazione]]=5,Tab_valori[[#This Row],[Valutazione sull''attenzione all''ambiente della città]]=10),Tab_valori[[#This Row],[Città Airbnb]],"-")</f>
        <v>-</v>
      </c>
    </row>
    <row r="63" spans="1:21" x14ac:dyDescent="0.2">
      <c r="A63" s="2">
        <v>4144</v>
      </c>
      <c r="B63" s="2" t="s">
        <v>162</v>
      </c>
      <c r="C63" s="2" t="s">
        <v>163</v>
      </c>
      <c r="D63" s="3">
        <v>89</v>
      </c>
      <c r="E63" s="2">
        <v>9</v>
      </c>
      <c r="F63" s="3">
        <f>Tab_valori[[#This Row],[Costo a Notte (€)]]*Tab_valori[[#This Row],[Numero Notti]]</f>
        <v>801</v>
      </c>
      <c r="G63" s="3">
        <f>Tab_valori[[#This Row],[Spesa totale per ogni utente ]]/Tab_valori[[#This Row],[Membri della Famiglia]]</f>
        <v>114.42857142857143</v>
      </c>
      <c r="H63" s="2" t="s">
        <v>164</v>
      </c>
      <c r="I63" s="4">
        <v>30746</v>
      </c>
      <c r="J63" s="2">
        <v>7</v>
      </c>
      <c r="K63" s="2">
        <v>1</v>
      </c>
      <c r="L63" s="2">
        <v>2</v>
      </c>
      <c r="M63" s="2" t="s">
        <v>17</v>
      </c>
      <c r="N63" s="2" t="s">
        <v>16</v>
      </c>
      <c r="O63" s="2" t="s">
        <v>17</v>
      </c>
      <c r="U63" t="str">
        <f>IF(AND(Tab_valori[[#This Row],[Valutazione]]=5,Tab_valori[[#This Row],[Valutazione sull''attenzione all''ambiente della città]]=10),Tab_valori[[#This Row],[Città Airbnb]],"-")</f>
        <v>-</v>
      </c>
    </row>
    <row r="64" spans="1:21" x14ac:dyDescent="0.2">
      <c r="A64" s="2">
        <v>3552</v>
      </c>
      <c r="B64" s="2" t="s">
        <v>165</v>
      </c>
      <c r="C64" s="2" t="s">
        <v>166</v>
      </c>
      <c r="D64" s="3">
        <v>152</v>
      </c>
      <c r="E64" s="2">
        <v>9</v>
      </c>
      <c r="F64" s="3">
        <f>Tab_valori[[#This Row],[Costo a Notte (€)]]*Tab_valori[[#This Row],[Numero Notti]]</f>
        <v>1368</v>
      </c>
      <c r="G64" s="3">
        <f>Tab_valori[[#This Row],[Spesa totale per ogni utente ]]/Tab_valori[[#This Row],[Membri della Famiglia]]</f>
        <v>684</v>
      </c>
      <c r="H64" s="2" t="s">
        <v>58</v>
      </c>
      <c r="I64" s="4">
        <v>25339</v>
      </c>
      <c r="J64" s="2">
        <v>2</v>
      </c>
      <c r="K64" s="2">
        <v>4</v>
      </c>
      <c r="L64" s="2">
        <v>8</v>
      </c>
      <c r="M64" s="2" t="s">
        <v>16</v>
      </c>
      <c r="N64" s="2" t="s">
        <v>17</v>
      </c>
      <c r="O64" s="2" t="s">
        <v>17</v>
      </c>
      <c r="U64" t="str">
        <f>IF(AND(Tab_valori[[#This Row],[Valutazione]]=5,Tab_valori[[#This Row],[Valutazione sull''attenzione all''ambiente della città]]=10),Tab_valori[[#This Row],[Città Airbnb]],"-")</f>
        <v>-</v>
      </c>
    </row>
    <row r="65" spans="1:21" x14ac:dyDescent="0.2">
      <c r="A65" s="2">
        <v>3193</v>
      </c>
      <c r="B65" s="2" t="s">
        <v>167</v>
      </c>
      <c r="C65" s="2" t="s">
        <v>168</v>
      </c>
      <c r="D65" s="3">
        <v>36</v>
      </c>
      <c r="E65" s="2">
        <v>5</v>
      </c>
      <c r="F65" s="3">
        <f>Tab_valori[[#This Row],[Costo a Notte (€)]]*Tab_valori[[#This Row],[Numero Notti]]</f>
        <v>180</v>
      </c>
      <c r="G65" s="3">
        <f>Tab_valori[[#This Row],[Spesa totale per ogni utente ]]/Tab_valori[[#This Row],[Membri della Famiglia]]</f>
        <v>45</v>
      </c>
      <c r="H65" s="2" t="s">
        <v>94</v>
      </c>
      <c r="I65" s="4">
        <v>28734</v>
      </c>
      <c r="J65" s="2">
        <v>4</v>
      </c>
      <c r="K65" s="2">
        <v>5</v>
      </c>
      <c r="L65" s="2">
        <v>10</v>
      </c>
      <c r="M65" s="2" t="s">
        <v>17</v>
      </c>
      <c r="N65" s="2" t="s">
        <v>16</v>
      </c>
      <c r="O65" s="2" t="s">
        <v>16</v>
      </c>
      <c r="U65" t="str">
        <f>IF(AND(Tab_valori[[#This Row],[Valutazione]]=5,Tab_valori[[#This Row],[Valutazione sull''attenzione all''ambiente della città]]=10),Tab_valori[[#This Row],[Città Airbnb]],"-")</f>
        <v>PÄarbaÅŸÄ</v>
      </c>
    </row>
    <row r="66" spans="1:21" x14ac:dyDescent="0.2">
      <c r="A66" s="2">
        <v>2790</v>
      </c>
      <c r="B66" s="2" t="s">
        <v>169</v>
      </c>
      <c r="C66" s="2" t="s">
        <v>170</v>
      </c>
      <c r="D66" s="3">
        <v>284</v>
      </c>
      <c r="E66" s="2">
        <v>1</v>
      </c>
      <c r="F66" s="3">
        <f>Tab_valori[[#This Row],[Costo a Notte (€)]]*Tab_valori[[#This Row],[Numero Notti]]</f>
        <v>284</v>
      </c>
      <c r="G66" s="3">
        <f>Tab_valori[[#This Row],[Spesa totale per ogni utente ]]/Tab_valori[[#This Row],[Membri della Famiglia]]</f>
        <v>284</v>
      </c>
      <c r="H66" s="2" t="s">
        <v>29</v>
      </c>
      <c r="I66" s="4">
        <v>29686</v>
      </c>
      <c r="J66" s="2">
        <v>1</v>
      </c>
      <c r="K66" s="2">
        <v>3</v>
      </c>
      <c r="L66" s="2">
        <v>6</v>
      </c>
      <c r="M66" s="2" t="s">
        <v>16</v>
      </c>
      <c r="N66" s="2" t="s">
        <v>16</v>
      </c>
      <c r="O66" s="2" t="s">
        <v>17</v>
      </c>
      <c r="U66" t="str">
        <f>IF(AND(Tab_valori[[#This Row],[Valutazione]]=5,Tab_valori[[#This Row],[Valutazione sull''attenzione all''ambiente della città]]=10),Tab_valori[[#This Row],[Città Airbnb]],"-")</f>
        <v>-</v>
      </c>
    </row>
    <row r="67" spans="1:21" x14ac:dyDescent="0.2">
      <c r="A67" s="2">
        <v>2452</v>
      </c>
      <c r="B67" s="2" t="s">
        <v>171</v>
      </c>
      <c r="C67" s="2" t="s">
        <v>172</v>
      </c>
      <c r="D67" s="3">
        <v>141</v>
      </c>
      <c r="E67" s="2">
        <v>3</v>
      </c>
      <c r="F67" s="3">
        <f>Tab_valori[[#This Row],[Costo a Notte (€)]]*Tab_valori[[#This Row],[Numero Notti]]</f>
        <v>423</v>
      </c>
      <c r="G67" s="3">
        <f>Tab_valori[[#This Row],[Spesa totale per ogni utente ]]/Tab_valori[[#This Row],[Membri della Famiglia]]</f>
        <v>423</v>
      </c>
      <c r="H67" s="2" t="s">
        <v>20</v>
      </c>
      <c r="I67" s="4">
        <v>26015</v>
      </c>
      <c r="J67" s="2">
        <v>1</v>
      </c>
      <c r="K67" s="2">
        <v>1</v>
      </c>
      <c r="L67" s="2">
        <v>5</v>
      </c>
      <c r="M67" s="2" t="s">
        <v>16</v>
      </c>
      <c r="N67" s="2" t="s">
        <v>16</v>
      </c>
      <c r="O67" s="2" t="s">
        <v>16</v>
      </c>
      <c r="U67" t="str">
        <f>IF(AND(Tab_valori[[#This Row],[Valutazione]]=5,Tab_valori[[#This Row],[Valutazione sull''attenzione all''ambiente della città]]=10),Tab_valori[[#This Row],[Città Airbnb]],"-")</f>
        <v>-</v>
      </c>
    </row>
    <row r="68" spans="1:21" x14ac:dyDescent="0.2">
      <c r="A68" s="2">
        <v>3648</v>
      </c>
      <c r="B68" s="2" t="s">
        <v>173</v>
      </c>
      <c r="C68" s="2" t="s">
        <v>174</v>
      </c>
      <c r="D68" s="3">
        <v>138</v>
      </c>
      <c r="E68" s="2">
        <v>4</v>
      </c>
      <c r="F68" s="3">
        <f>Tab_valori[[#This Row],[Costo a Notte (€)]]*Tab_valori[[#This Row],[Numero Notti]]</f>
        <v>552</v>
      </c>
      <c r="G68" s="3">
        <f>Tab_valori[[#This Row],[Spesa totale per ogni utente ]]/Tab_valori[[#This Row],[Membri della Famiglia]]</f>
        <v>110.4</v>
      </c>
      <c r="H68" s="2" t="s">
        <v>94</v>
      </c>
      <c r="I68" s="4">
        <v>34749</v>
      </c>
      <c r="J68" s="2">
        <v>5</v>
      </c>
      <c r="K68" s="2">
        <v>5</v>
      </c>
      <c r="L68" s="2">
        <v>2</v>
      </c>
      <c r="M68" s="2" t="s">
        <v>17</v>
      </c>
      <c r="N68" s="2" t="s">
        <v>16</v>
      </c>
      <c r="O68" s="2" t="s">
        <v>16</v>
      </c>
      <c r="U68" t="str">
        <f>IF(AND(Tab_valori[[#This Row],[Valutazione]]=5,Tab_valori[[#This Row],[Valutazione sull''attenzione all''ambiente della città]]=10),Tab_valori[[#This Row],[Città Airbnb]],"-")</f>
        <v>-</v>
      </c>
    </row>
    <row r="69" spans="1:21" x14ac:dyDescent="0.2">
      <c r="A69" s="2">
        <v>3866</v>
      </c>
      <c r="B69" s="2" t="s">
        <v>175</v>
      </c>
      <c r="C69" s="2" t="s">
        <v>176</v>
      </c>
      <c r="D69" s="3">
        <v>157</v>
      </c>
      <c r="E69" s="2">
        <v>4</v>
      </c>
      <c r="F69" s="3">
        <f>Tab_valori[[#This Row],[Costo a Notte (€)]]*Tab_valori[[#This Row],[Numero Notti]]</f>
        <v>628</v>
      </c>
      <c r="G69" s="3">
        <f>Tab_valori[[#This Row],[Spesa totale per ogni utente ]]/Tab_valori[[#This Row],[Membri della Famiglia]]</f>
        <v>104.66666666666667</v>
      </c>
      <c r="H69" s="2" t="s">
        <v>48</v>
      </c>
      <c r="I69" s="4">
        <v>27787</v>
      </c>
      <c r="J69" s="2">
        <v>6</v>
      </c>
      <c r="K69" s="2">
        <v>4</v>
      </c>
      <c r="L69" s="2">
        <v>2</v>
      </c>
      <c r="M69" s="2" t="s">
        <v>16</v>
      </c>
      <c r="N69" s="2" t="s">
        <v>17</v>
      </c>
      <c r="O69" s="2" t="s">
        <v>16</v>
      </c>
      <c r="U69" t="str">
        <f>IF(AND(Tab_valori[[#This Row],[Valutazione]]=5,Tab_valori[[#This Row],[Valutazione sull''attenzione all''ambiente della città]]=10),Tab_valori[[#This Row],[Città Airbnb]],"-")</f>
        <v>-</v>
      </c>
    </row>
    <row r="70" spans="1:21" x14ac:dyDescent="0.2">
      <c r="A70" s="2">
        <v>4811</v>
      </c>
      <c r="B70" s="2" t="s">
        <v>177</v>
      </c>
      <c r="C70" s="2" t="s">
        <v>178</v>
      </c>
      <c r="D70" s="3">
        <v>114</v>
      </c>
      <c r="E70" s="2">
        <v>4</v>
      </c>
      <c r="F70" s="3">
        <f>Tab_valori[[#This Row],[Costo a Notte (€)]]*Tab_valori[[#This Row],[Numero Notti]]</f>
        <v>456</v>
      </c>
      <c r="G70" s="3">
        <f>Tab_valori[[#This Row],[Spesa totale per ogni utente ]]/Tab_valori[[#This Row],[Membri della Famiglia]]</f>
        <v>76</v>
      </c>
      <c r="H70" s="2" t="s">
        <v>179</v>
      </c>
      <c r="I70" s="4">
        <v>34336</v>
      </c>
      <c r="J70" s="2">
        <v>6</v>
      </c>
      <c r="K70" s="2">
        <v>2</v>
      </c>
      <c r="L70" s="2">
        <v>3</v>
      </c>
      <c r="M70" s="2" t="s">
        <v>16</v>
      </c>
      <c r="N70" s="2" t="s">
        <v>17</v>
      </c>
      <c r="O70" s="2" t="s">
        <v>17</v>
      </c>
      <c r="U70" t="str">
        <f>IF(AND(Tab_valori[[#This Row],[Valutazione]]=5,Tab_valori[[#This Row],[Valutazione sull''attenzione all''ambiente della città]]=10),Tab_valori[[#This Row],[Città Airbnb]],"-")</f>
        <v>-</v>
      </c>
    </row>
    <row r="71" spans="1:21" x14ac:dyDescent="0.2">
      <c r="A71" s="2">
        <v>4675</v>
      </c>
      <c r="B71" s="2" t="s">
        <v>180</v>
      </c>
      <c r="C71" s="2" t="s">
        <v>181</v>
      </c>
      <c r="D71" s="3">
        <v>98</v>
      </c>
      <c r="E71" s="2">
        <v>7</v>
      </c>
      <c r="F71" s="3">
        <f>Tab_valori[[#This Row],[Costo a Notte (€)]]*Tab_valori[[#This Row],[Numero Notti]]</f>
        <v>686</v>
      </c>
      <c r="G71" s="3">
        <f>Tab_valori[[#This Row],[Spesa totale per ogni utente ]]/Tab_valori[[#This Row],[Membri della Famiglia]]</f>
        <v>343</v>
      </c>
      <c r="H71" s="2" t="s">
        <v>26</v>
      </c>
      <c r="I71" s="4">
        <v>32217</v>
      </c>
      <c r="J71" s="2">
        <v>2</v>
      </c>
      <c r="K71" s="2">
        <v>1</v>
      </c>
      <c r="L71" s="2">
        <v>7</v>
      </c>
      <c r="M71" s="2" t="s">
        <v>16</v>
      </c>
      <c r="N71" s="2" t="s">
        <v>17</v>
      </c>
      <c r="O71" s="2" t="s">
        <v>16</v>
      </c>
      <c r="U71" t="str">
        <f>IF(AND(Tab_valori[[#This Row],[Valutazione]]=5,Tab_valori[[#This Row],[Valutazione sull''attenzione all''ambiente della città]]=10),Tab_valori[[#This Row],[Città Airbnb]],"-")</f>
        <v>-</v>
      </c>
    </row>
    <row r="72" spans="1:21" x14ac:dyDescent="0.2">
      <c r="A72" s="2">
        <v>2356</v>
      </c>
      <c r="B72" s="2" t="s">
        <v>182</v>
      </c>
      <c r="C72" s="2" t="s">
        <v>183</v>
      </c>
      <c r="D72" s="3">
        <v>57</v>
      </c>
      <c r="E72" s="2">
        <v>10</v>
      </c>
      <c r="F72" s="3">
        <f>Tab_valori[[#This Row],[Costo a Notte (€)]]*Tab_valori[[#This Row],[Numero Notti]]</f>
        <v>570</v>
      </c>
      <c r="G72" s="3">
        <f>Tab_valori[[#This Row],[Spesa totale per ogni utente ]]/Tab_valori[[#This Row],[Membri della Famiglia]]</f>
        <v>142.5</v>
      </c>
      <c r="H72" s="2" t="s">
        <v>184</v>
      </c>
      <c r="I72" s="4">
        <v>20564</v>
      </c>
      <c r="J72" s="2">
        <v>4</v>
      </c>
      <c r="K72" s="2">
        <v>1</v>
      </c>
      <c r="L72" s="2">
        <v>7</v>
      </c>
      <c r="M72" s="2" t="s">
        <v>17</v>
      </c>
      <c r="N72" s="2" t="s">
        <v>16</v>
      </c>
      <c r="O72" s="2" t="s">
        <v>17</v>
      </c>
      <c r="U72" t="str">
        <f>IF(AND(Tab_valori[[#This Row],[Valutazione]]=5,Tab_valori[[#This Row],[Valutazione sull''attenzione all''ambiente della città]]=10),Tab_valori[[#This Row],[Città Airbnb]],"-")</f>
        <v>-</v>
      </c>
    </row>
    <row r="73" spans="1:21" x14ac:dyDescent="0.2">
      <c r="A73" s="2">
        <v>5021</v>
      </c>
      <c r="B73" s="2" t="s">
        <v>185</v>
      </c>
      <c r="C73" s="2" t="s">
        <v>186</v>
      </c>
      <c r="D73" s="3">
        <v>107</v>
      </c>
      <c r="E73" s="2">
        <v>4</v>
      </c>
      <c r="F73" s="3">
        <f>Tab_valori[[#This Row],[Costo a Notte (€)]]*Tab_valori[[#This Row],[Numero Notti]]</f>
        <v>428</v>
      </c>
      <c r="G73" s="3">
        <f>Tab_valori[[#This Row],[Spesa totale per ogni utente ]]/Tab_valori[[#This Row],[Membri della Famiglia]]</f>
        <v>61.142857142857146</v>
      </c>
      <c r="H73" s="2" t="s">
        <v>82</v>
      </c>
      <c r="I73" s="4">
        <v>33324</v>
      </c>
      <c r="J73" s="2">
        <v>7</v>
      </c>
      <c r="K73" s="2">
        <v>3</v>
      </c>
      <c r="L73" s="2">
        <v>3</v>
      </c>
      <c r="M73" s="2" t="s">
        <v>17</v>
      </c>
      <c r="N73" s="2" t="s">
        <v>17</v>
      </c>
      <c r="O73" s="2" t="s">
        <v>16</v>
      </c>
      <c r="U73" t="str">
        <f>IF(AND(Tab_valori[[#This Row],[Valutazione]]=5,Tab_valori[[#This Row],[Valutazione sull''attenzione all''ambiente della città]]=10),Tab_valori[[#This Row],[Città Airbnb]],"-")</f>
        <v>-</v>
      </c>
    </row>
    <row r="74" spans="1:21" x14ac:dyDescent="0.2">
      <c r="A74" s="2">
        <v>3022</v>
      </c>
      <c r="B74" s="2" t="s">
        <v>187</v>
      </c>
      <c r="C74" s="2" t="s">
        <v>188</v>
      </c>
      <c r="D74" s="3">
        <v>150</v>
      </c>
      <c r="E74" s="2">
        <v>3</v>
      </c>
      <c r="F74" s="3">
        <f>Tab_valori[[#This Row],[Costo a Notte (€)]]*Tab_valori[[#This Row],[Numero Notti]]</f>
        <v>450</v>
      </c>
      <c r="G74" s="3">
        <f>Tab_valori[[#This Row],[Spesa totale per ogni utente ]]/Tab_valori[[#This Row],[Membri della Famiglia]]</f>
        <v>75</v>
      </c>
      <c r="H74" s="2" t="s">
        <v>189</v>
      </c>
      <c r="I74" s="4">
        <v>32170</v>
      </c>
      <c r="J74" s="2">
        <v>6</v>
      </c>
      <c r="K74" s="2">
        <v>3</v>
      </c>
      <c r="L74" s="2">
        <v>0</v>
      </c>
      <c r="M74" s="2" t="s">
        <v>17</v>
      </c>
      <c r="N74" s="2" t="s">
        <v>16</v>
      </c>
      <c r="O74" s="2" t="s">
        <v>16</v>
      </c>
      <c r="U74" t="str">
        <f>IF(AND(Tab_valori[[#This Row],[Valutazione]]=5,Tab_valori[[#This Row],[Valutazione sull''attenzione all''ambiente della città]]=10),Tab_valori[[#This Row],[Città Airbnb]],"-")</f>
        <v>-</v>
      </c>
    </row>
    <row r="75" spans="1:21" x14ac:dyDescent="0.2">
      <c r="A75" s="2">
        <v>5567</v>
      </c>
      <c r="B75" s="2" t="s">
        <v>190</v>
      </c>
      <c r="C75" s="2" t="s">
        <v>191</v>
      </c>
      <c r="D75" s="3">
        <v>286</v>
      </c>
      <c r="E75" s="2">
        <v>2</v>
      </c>
      <c r="F75" s="3">
        <f>Tab_valori[[#This Row],[Costo a Notte (€)]]*Tab_valori[[#This Row],[Numero Notti]]</f>
        <v>572</v>
      </c>
      <c r="G75" s="3">
        <f>Tab_valori[[#This Row],[Spesa totale per ogni utente ]]/Tab_valori[[#This Row],[Membri della Famiglia]]</f>
        <v>572</v>
      </c>
      <c r="H75" s="2" t="s">
        <v>45</v>
      </c>
      <c r="I75" s="4">
        <v>28039</v>
      </c>
      <c r="J75" s="2">
        <v>1</v>
      </c>
      <c r="K75" s="2">
        <v>3</v>
      </c>
      <c r="L75" s="2">
        <v>6</v>
      </c>
      <c r="M75" s="2" t="s">
        <v>16</v>
      </c>
      <c r="N75" s="2" t="s">
        <v>16</v>
      </c>
      <c r="O75" s="2" t="s">
        <v>16</v>
      </c>
      <c r="U75" t="str">
        <f>IF(AND(Tab_valori[[#This Row],[Valutazione]]=5,Tab_valori[[#This Row],[Valutazione sull''attenzione all''ambiente della città]]=10),Tab_valori[[#This Row],[Città Airbnb]],"-")</f>
        <v>-</v>
      </c>
    </row>
    <row r="76" spans="1:21" x14ac:dyDescent="0.2">
      <c r="A76" s="2">
        <v>5523</v>
      </c>
      <c r="B76" s="2" t="s">
        <v>192</v>
      </c>
      <c r="C76" s="2" t="s">
        <v>193</v>
      </c>
      <c r="D76" s="3">
        <v>151</v>
      </c>
      <c r="E76" s="2">
        <v>7</v>
      </c>
      <c r="F76" s="3">
        <f>Tab_valori[[#This Row],[Costo a Notte (€)]]*Tab_valori[[#This Row],[Numero Notti]]</f>
        <v>1057</v>
      </c>
      <c r="G76" s="3">
        <f>Tab_valori[[#This Row],[Spesa totale per ogni utente ]]/Tab_valori[[#This Row],[Membri della Famiglia]]</f>
        <v>352.33333333333331</v>
      </c>
      <c r="H76" s="2" t="s">
        <v>194</v>
      </c>
      <c r="I76" s="4">
        <v>34647</v>
      </c>
      <c r="J76" s="2">
        <v>3</v>
      </c>
      <c r="K76" s="2">
        <v>2</v>
      </c>
      <c r="L76" s="2">
        <v>3</v>
      </c>
      <c r="M76" s="2" t="s">
        <v>17</v>
      </c>
      <c r="N76" s="2" t="s">
        <v>17</v>
      </c>
      <c r="O76" s="2" t="s">
        <v>16</v>
      </c>
      <c r="U76" t="str">
        <f>IF(AND(Tab_valori[[#This Row],[Valutazione]]=5,Tab_valori[[#This Row],[Valutazione sull''attenzione all''ambiente della città]]=10),Tab_valori[[#This Row],[Città Airbnb]],"-")</f>
        <v>-</v>
      </c>
    </row>
    <row r="77" spans="1:21" x14ac:dyDescent="0.2">
      <c r="A77" s="2">
        <v>2498</v>
      </c>
      <c r="B77" s="2" t="s">
        <v>195</v>
      </c>
      <c r="C77" s="2" t="s">
        <v>196</v>
      </c>
      <c r="D77" s="3">
        <v>235</v>
      </c>
      <c r="E77" s="2">
        <v>7</v>
      </c>
      <c r="F77" s="3">
        <f>Tab_valori[[#This Row],[Costo a Notte (€)]]*Tab_valori[[#This Row],[Numero Notti]]</f>
        <v>1645</v>
      </c>
      <c r="G77" s="3">
        <f>Tab_valori[[#This Row],[Spesa totale per ogni utente ]]/Tab_valori[[#This Row],[Membri della Famiglia]]</f>
        <v>329</v>
      </c>
      <c r="H77" s="2" t="s">
        <v>53</v>
      </c>
      <c r="I77" s="4">
        <v>26797</v>
      </c>
      <c r="J77" s="2">
        <v>5</v>
      </c>
      <c r="K77" s="2">
        <v>2</v>
      </c>
      <c r="L77" s="2">
        <v>7</v>
      </c>
      <c r="M77" s="2" t="s">
        <v>17</v>
      </c>
      <c r="N77" s="2" t="s">
        <v>16</v>
      </c>
      <c r="O77" s="2" t="s">
        <v>17</v>
      </c>
      <c r="U77" t="str">
        <f>IF(AND(Tab_valori[[#This Row],[Valutazione]]=5,Tab_valori[[#This Row],[Valutazione sull''attenzione all''ambiente della città]]=10),Tab_valori[[#This Row],[Città Airbnb]],"-")</f>
        <v>-</v>
      </c>
    </row>
    <row r="78" spans="1:21" x14ac:dyDescent="0.2">
      <c r="A78" s="2">
        <v>2986</v>
      </c>
      <c r="B78" s="2" t="s">
        <v>197</v>
      </c>
      <c r="C78" s="2" t="s">
        <v>198</v>
      </c>
      <c r="D78" s="3">
        <v>226</v>
      </c>
      <c r="E78" s="2">
        <v>1</v>
      </c>
      <c r="F78" s="3">
        <f>Tab_valori[[#This Row],[Costo a Notte (€)]]*Tab_valori[[#This Row],[Numero Notti]]</f>
        <v>226</v>
      </c>
      <c r="G78" s="3">
        <f>Tab_valori[[#This Row],[Spesa totale per ogni utente ]]/Tab_valori[[#This Row],[Membri della Famiglia]]</f>
        <v>56.5</v>
      </c>
      <c r="H78" s="2" t="s">
        <v>53</v>
      </c>
      <c r="I78" s="4">
        <v>27105</v>
      </c>
      <c r="J78" s="2">
        <v>4</v>
      </c>
      <c r="K78" s="2">
        <v>1</v>
      </c>
      <c r="L78" s="2">
        <v>2</v>
      </c>
      <c r="M78" s="2" t="s">
        <v>16</v>
      </c>
      <c r="N78" s="2" t="s">
        <v>16</v>
      </c>
      <c r="O78" s="2" t="s">
        <v>16</v>
      </c>
      <c r="U78" t="str">
        <f>IF(AND(Tab_valori[[#This Row],[Valutazione]]=5,Tab_valori[[#This Row],[Valutazione sull''attenzione all''ambiente della città]]=10),Tab_valori[[#This Row],[Città Airbnb]],"-")</f>
        <v>-</v>
      </c>
    </row>
    <row r="79" spans="1:21" x14ac:dyDescent="0.2">
      <c r="A79" s="2">
        <v>2739</v>
      </c>
      <c r="B79" s="2" t="s">
        <v>199</v>
      </c>
      <c r="C79" s="2" t="s">
        <v>200</v>
      </c>
      <c r="D79" s="3">
        <v>68</v>
      </c>
      <c r="E79" s="2">
        <v>6</v>
      </c>
      <c r="F79" s="3">
        <f>Tab_valori[[#This Row],[Costo a Notte (€)]]*Tab_valori[[#This Row],[Numero Notti]]</f>
        <v>408</v>
      </c>
      <c r="G79" s="3">
        <f>Tab_valori[[#This Row],[Spesa totale per ogni utente ]]/Tab_valori[[#This Row],[Membri della Famiglia]]</f>
        <v>136</v>
      </c>
      <c r="H79" s="2" t="s">
        <v>34</v>
      </c>
      <c r="I79" s="4">
        <v>21271</v>
      </c>
      <c r="J79" s="2">
        <v>3</v>
      </c>
      <c r="K79" s="2">
        <v>4</v>
      </c>
      <c r="L79" s="2">
        <v>9</v>
      </c>
      <c r="M79" s="2" t="s">
        <v>17</v>
      </c>
      <c r="N79" s="2" t="s">
        <v>16</v>
      </c>
      <c r="O79" s="2" t="s">
        <v>17</v>
      </c>
      <c r="U79" t="str">
        <f>IF(AND(Tab_valori[[#This Row],[Valutazione]]=5,Tab_valori[[#This Row],[Valutazione sull''attenzione all''ambiente della città]]=10),Tab_valori[[#This Row],[Città Airbnb]],"-")</f>
        <v>-</v>
      </c>
    </row>
    <row r="80" spans="1:21" x14ac:dyDescent="0.2">
      <c r="A80" s="2">
        <v>5307</v>
      </c>
      <c r="B80" s="2" t="s">
        <v>201</v>
      </c>
      <c r="C80" s="2" t="s">
        <v>202</v>
      </c>
      <c r="D80" s="3">
        <v>209</v>
      </c>
      <c r="E80" s="2">
        <v>9</v>
      </c>
      <c r="F80" s="3">
        <f>Tab_valori[[#This Row],[Costo a Notte (€)]]*Tab_valori[[#This Row],[Numero Notti]]</f>
        <v>1881</v>
      </c>
      <c r="G80" s="3">
        <f>Tab_valori[[#This Row],[Spesa totale per ogni utente ]]/Tab_valori[[#This Row],[Membri della Famiglia]]</f>
        <v>376.2</v>
      </c>
      <c r="H80" s="2" t="s">
        <v>67</v>
      </c>
      <c r="I80" s="4">
        <v>34232</v>
      </c>
      <c r="J80" s="2">
        <v>5</v>
      </c>
      <c r="K80" s="2">
        <v>5</v>
      </c>
      <c r="L80" s="2">
        <v>8</v>
      </c>
      <c r="M80" s="2" t="s">
        <v>16</v>
      </c>
      <c r="N80" s="2" t="s">
        <v>17</v>
      </c>
      <c r="O80" s="2" t="s">
        <v>16</v>
      </c>
      <c r="U80" t="str">
        <f>IF(AND(Tab_valori[[#This Row],[Valutazione]]=5,Tab_valori[[#This Row],[Valutazione sull''attenzione all''ambiente della città]]=10),Tab_valori[[#This Row],[Città Airbnb]],"-")</f>
        <v>-</v>
      </c>
    </row>
    <row r="81" spans="1:21" x14ac:dyDescent="0.2">
      <c r="A81" s="2">
        <v>4932</v>
      </c>
      <c r="B81" s="2" t="s">
        <v>203</v>
      </c>
      <c r="C81" s="2" t="s">
        <v>204</v>
      </c>
      <c r="D81" s="3">
        <v>162</v>
      </c>
      <c r="E81" s="2">
        <v>8</v>
      </c>
      <c r="F81" s="3">
        <f>Tab_valori[[#This Row],[Costo a Notte (€)]]*Tab_valori[[#This Row],[Numero Notti]]</f>
        <v>1296</v>
      </c>
      <c r="G81" s="3">
        <f>Tab_valori[[#This Row],[Spesa totale per ogni utente ]]/Tab_valori[[#This Row],[Membri della Famiglia]]</f>
        <v>185.14285714285714</v>
      </c>
      <c r="H81" s="2" t="s">
        <v>73</v>
      </c>
      <c r="I81" s="4">
        <v>31802</v>
      </c>
      <c r="J81" s="2">
        <v>7</v>
      </c>
      <c r="K81" s="2">
        <v>5</v>
      </c>
      <c r="L81" s="2">
        <v>3</v>
      </c>
      <c r="M81" s="2" t="s">
        <v>16</v>
      </c>
      <c r="N81" s="2" t="s">
        <v>17</v>
      </c>
      <c r="O81" s="2" t="s">
        <v>16</v>
      </c>
      <c r="U81" t="str">
        <f>IF(AND(Tab_valori[[#This Row],[Valutazione]]=5,Tab_valori[[#This Row],[Valutazione sull''attenzione all''ambiente della città]]=10),Tab_valori[[#This Row],[Città Airbnb]],"-")</f>
        <v>-</v>
      </c>
    </row>
    <row r="82" spans="1:21" x14ac:dyDescent="0.2">
      <c r="A82" s="2">
        <v>4105</v>
      </c>
      <c r="B82" s="2" t="s">
        <v>205</v>
      </c>
      <c r="C82" s="2" t="s">
        <v>206</v>
      </c>
      <c r="D82" s="3">
        <v>266</v>
      </c>
      <c r="E82" s="2">
        <v>6</v>
      </c>
      <c r="F82" s="3">
        <f>Tab_valori[[#This Row],[Costo a Notte (€)]]*Tab_valori[[#This Row],[Numero Notti]]</f>
        <v>1596</v>
      </c>
      <c r="G82" s="3">
        <f>Tab_valori[[#This Row],[Spesa totale per ogni utente ]]/Tab_valori[[#This Row],[Membri della Famiglia]]</f>
        <v>319.2</v>
      </c>
      <c r="H82" s="2" t="s">
        <v>109</v>
      </c>
      <c r="I82" s="4">
        <v>21931</v>
      </c>
      <c r="J82" s="2">
        <v>5</v>
      </c>
      <c r="K82" s="2">
        <v>5</v>
      </c>
      <c r="L82" s="2">
        <v>0</v>
      </c>
      <c r="M82" s="2" t="s">
        <v>16</v>
      </c>
      <c r="N82" s="2" t="s">
        <v>17</v>
      </c>
      <c r="O82" s="2" t="s">
        <v>17</v>
      </c>
      <c r="U82" t="str">
        <f>IF(AND(Tab_valori[[#This Row],[Valutazione]]=5,Tab_valori[[#This Row],[Valutazione sull''attenzione all''ambiente della città]]=10),Tab_valori[[#This Row],[Città Airbnb]],"-")</f>
        <v>-</v>
      </c>
    </row>
    <row r="83" spans="1:21" x14ac:dyDescent="0.2">
      <c r="A83" s="2">
        <v>4431</v>
      </c>
      <c r="B83" s="2" t="s">
        <v>207</v>
      </c>
      <c r="C83" s="2" t="s">
        <v>208</v>
      </c>
      <c r="D83" s="3">
        <v>217</v>
      </c>
      <c r="E83" s="2">
        <v>3</v>
      </c>
      <c r="F83" s="3">
        <f>Tab_valori[[#This Row],[Costo a Notte (€)]]*Tab_valori[[#This Row],[Numero Notti]]</f>
        <v>651</v>
      </c>
      <c r="G83" s="3">
        <f>Tab_valori[[#This Row],[Spesa totale per ogni utente ]]/Tab_valori[[#This Row],[Membri della Famiglia]]</f>
        <v>93</v>
      </c>
      <c r="H83" s="2" t="s">
        <v>29</v>
      </c>
      <c r="I83" s="4">
        <v>34009</v>
      </c>
      <c r="J83" s="2">
        <v>7</v>
      </c>
      <c r="K83" s="2">
        <v>3</v>
      </c>
      <c r="L83" s="2">
        <v>2</v>
      </c>
      <c r="M83" s="2" t="s">
        <v>16</v>
      </c>
      <c r="N83" s="2" t="s">
        <v>16</v>
      </c>
      <c r="O83" s="2" t="s">
        <v>16</v>
      </c>
      <c r="U83" t="str">
        <f>IF(AND(Tab_valori[[#This Row],[Valutazione]]=5,Tab_valori[[#This Row],[Valutazione sull''attenzione all''ambiente della città]]=10),Tab_valori[[#This Row],[Città Airbnb]],"-")</f>
        <v>-</v>
      </c>
    </row>
    <row r="84" spans="1:21" x14ac:dyDescent="0.2">
      <c r="A84" s="2">
        <v>4520</v>
      </c>
      <c r="B84" s="2" t="s">
        <v>209</v>
      </c>
      <c r="C84" s="2" t="s">
        <v>210</v>
      </c>
      <c r="D84" s="3">
        <v>180</v>
      </c>
      <c r="E84" s="2">
        <v>9</v>
      </c>
      <c r="F84" s="3">
        <f>Tab_valori[[#This Row],[Costo a Notte (€)]]*Tab_valori[[#This Row],[Numero Notti]]</f>
        <v>1620</v>
      </c>
      <c r="G84" s="3">
        <f>Tab_valori[[#This Row],[Spesa totale per ogni utente ]]/Tab_valori[[#This Row],[Membri della Famiglia]]</f>
        <v>405</v>
      </c>
      <c r="H84" s="2" t="s">
        <v>40</v>
      </c>
      <c r="I84" s="4">
        <v>24612</v>
      </c>
      <c r="J84" s="2">
        <v>4</v>
      </c>
      <c r="K84" s="2">
        <v>4</v>
      </c>
      <c r="L84" s="2">
        <v>2</v>
      </c>
      <c r="M84" s="2" t="s">
        <v>17</v>
      </c>
      <c r="N84" s="2" t="s">
        <v>17</v>
      </c>
      <c r="O84" s="2" t="s">
        <v>17</v>
      </c>
      <c r="U84" t="str">
        <f>IF(AND(Tab_valori[[#This Row],[Valutazione]]=5,Tab_valori[[#This Row],[Valutazione sull''attenzione all''ambiente della città]]=10),Tab_valori[[#This Row],[Città Airbnb]],"-")</f>
        <v>-</v>
      </c>
    </row>
    <row r="85" spans="1:21" x14ac:dyDescent="0.2">
      <c r="A85" s="2">
        <v>4034</v>
      </c>
      <c r="B85" s="2" t="s">
        <v>211</v>
      </c>
      <c r="C85" s="2" t="s">
        <v>212</v>
      </c>
      <c r="D85" s="3">
        <v>268</v>
      </c>
      <c r="E85" s="2">
        <v>5</v>
      </c>
      <c r="F85" s="3">
        <f>Tab_valori[[#This Row],[Costo a Notte (€)]]*Tab_valori[[#This Row],[Numero Notti]]</f>
        <v>1340</v>
      </c>
      <c r="G85" s="3">
        <f>Tab_valori[[#This Row],[Spesa totale per ogni utente ]]/Tab_valori[[#This Row],[Membri della Famiglia]]</f>
        <v>335</v>
      </c>
      <c r="H85" s="2" t="s">
        <v>63</v>
      </c>
      <c r="I85" s="4">
        <v>23122</v>
      </c>
      <c r="J85" s="2">
        <v>4</v>
      </c>
      <c r="K85" s="2">
        <v>2</v>
      </c>
      <c r="L85" s="2">
        <v>5</v>
      </c>
      <c r="M85" s="2" t="s">
        <v>17</v>
      </c>
      <c r="N85" s="2" t="s">
        <v>17</v>
      </c>
      <c r="O85" s="2" t="s">
        <v>17</v>
      </c>
      <c r="U85" t="str">
        <f>IF(AND(Tab_valori[[#This Row],[Valutazione]]=5,Tab_valori[[#This Row],[Valutazione sull''attenzione all''ambiente della città]]=10),Tab_valori[[#This Row],[Città Airbnb]],"-")</f>
        <v>-</v>
      </c>
    </row>
    <row r="86" spans="1:21" x14ac:dyDescent="0.2">
      <c r="A86" s="2">
        <v>3355</v>
      </c>
      <c r="B86" s="2" t="s">
        <v>213</v>
      </c>
      <c r="C86" s="2" t="s">
        <v>214</v>
      </c>
      <c r="D86" s="3">
        <v>99</v>
      </c>
      <c r="E86" s="2">
        <v>5</v>
      </c>
      <c r="F86" s="3">
        <f>Tab_valori[[#This Row],[Costo a Notte (€)]]*Tab_valori[[#This Row],[Numero Notti]]</f>
        <v>495</v>
      </c>
      <c r="G86" s="3">
        <f>Tab_valori[[#This Row],[Spesa totale per ogni utente ]]/Tab_valori[[#This Row],[Membri della Famiglia]]</f>
        <v>247.5</v>
      </c>
      <c r="H86" s="2" t="s">
        <v>53</v>
      </c>
      <c r="I86" s="4">
        <v>33815</v>
      </c>
      <c r="J86" s="2">
        <v>2</v>
      </c>
      <c r="K86" s="2">
        <v>3</v>
      </c>
      <c r="L86" s="2">
        <v>1</v>
      </c>
      <c r="M86" s="2" t="s">
        <v>17</v>
      </c>
      <c r="N86" s="2" t="s">
        <v>16</v>
      </c>
      <c r="O86" s="2" t="s">
        <v>16</v>
      </c>
      <c r="U86" t="str">
        <f>IF(AND(Tab_valori[[#This Row],[Valutazione]]=5,Tab_valori[[#This Row],[Valutazione sull''attenzione all''ambiente della città]]=10),Tab_valori[[#This Row],[Città Airbnb]],"-")</f>
        <v>-</v>
      </c>
    </row>
    <row r="87" spans="1:21" x14ac:dyDescent="0.2">
      <c r="A87" s="2">
        <v>5439</v>
      </c>
      <c r="B87" s="2" t="s">
        <v>215</v>
      </c>
      <c r="C87" s="2" t="s">
        <v>216</v>
      </c>
      <c r="D87" s="3">
        <v>23</v>
      </c>
      <c r="E87" s="2">
        <v>5</v>
      </c>
      <c r="F87" s="3">
        <f>Tab_valori[[#This Row],[Costo a Notte (€)]]*Tab_valori[[#This Row],[Numero Notti]]</f>
        <v>115</v>
      </c>
      <c r="G87" s="3">
        <f>Tab_valori[[#This Row],[Spesa totale per ogni utente ]]/Tab_valori[[#This Row],[Membri della Famiglia]]</f>
        <v>28.75</v>
      </c>
      <c r="H87" s="2" t="s">
        <v>142</v>
      </c>
      <c r="I87" s="4">
        <v>30893</v>
      </c>
      <c r="J87" s="2">
        <v>4</v>
      </c>
      <c r="K87" s="2">
        <v>5</v>
      </c>
      <c r="L87" s="2">
        <v>8</v>
      </c>
      <c r="M87" s="2" t="s">
        <v>16</v>
      </c>
      <c r="N87" s="2" t="s">
        <v>17</v>
      </c>
      <c r="O87" s="2" t="s">
        <v>17</v>
      </c>
      <c r="U87" t="str">
        <f>IF(AND(Tab_valori[[#This Row],[Valutazione]]=5,Tab_valori[[#This Row],[Valutazione sull''attenzione all''ambiente della città]]=10),Tab_valori[[#This Row],[Città Airbnb]],"-")</f>
        <v>-</v>
      </c>
    </row>
    <row r="88" spans="1:21" x14ac:dyDescent="0.2">
      <c r="A88" s="2">
        <v>5353</v>
      </c>
      <c r="B88" s="2" t="s">
        <v>217</v>
      </c>
      <c r="C88" s="2" t="s">
        <v>218</v>
      </c>
      <c r="D88" s="3">
        <v>275</v>
      </c>
      <c r="E88" s="2">
        <v>4</v>
      </c>
      <c r="F88" s="3">
        <f>Tab_valori[[#This Row],[Costo a Notte (€)]]*Tab_valori[[#This Row],[Numero Notti]]</f>
        <v>1100</v>
      </c>
      <c r="G88" s="3">
        <f>Tab_valori[[#This Row],[Spesa totale per ogni utente ]]/Tab_valori[[#This Row],[Membri della Famiglia]]</f>
        <v>157.14285714285714</v>
      </c>
      <c r="H88" s="2" t="s">
        <v>29</v>
      </c>
      <c r="I88" s="4">
        <v>22717</v>
      </c>
      <c r="J88" s="2">
        <v>7</v>
      </c>
      <c r="K88" s="2">
        <v>2</v>
      </c>
      <c r="L88" s="2">
        <v>3</v>
      </c>
      <c r="M88" s="2" t="s">
        <v>17</v>
      </c>
      <c r="N88" s="2" t="s">
        <v>16</v>
      </c>
      <c r="O88" s="2" t="s">
        <v>16</v>
      </c>
      <c r="U88" t="str">
        <f>IF(AND(Tab_valori[[#This Row],[Valutazione]]=5,Tab_valori[[#This Row],[Valutazione sull''attenzione all''ambiente della città]]=10),Tab_valori[[#This Row],[Città Airbnb]],"-")</f>
        <v>-</v>
      </c>
    </row>
    <row r="89" spans="1:21" x14ac:dyDescent="0.2">
      <c r="A89" s="2">
        <v>4083</v>
      </c>
      <c r="B89" s="2" t="s">
        <v>219</v>
      </c>
      <c r="C89" s="2" t="s">
        <v>220</v>
      </c>
      <c r="D89" s="3">
        <v>232</v>
      </c>
      <c r="E89" s="2">
        <v>10</v>
      </c>
      <c r="F89" s="3">
        <f>Tab_valori[[#This Row],[Costo a Notte (€)]]*Tab_valori[[#This Row],[Numero Notti]]</f>
        <v>2320</v>
      </c>
      <c r="G89" s="3">
        <f>Tab_valori[[#This Row],[Spesa totale per ogni utente ]]/Tab_valori[[#This Row],[Membri della Famiglia]]</f>
        <v>1160</v>
      </c>
      <c r="H89" s="2" t="s">
        <v>29</v>
      </c>
      <c r="I89" s="4">
        <v>30870</v>
      </c>
      <c r="J89" s="2">
        <v>2</v>
      </c>
      <c r="K89" s="2">
        <v>3</v>
      </c>
      <c r="L89" s="2">
        <v>9</v>
      </c>
      <c r="M89" s="2" t="s">
        <v>16</v>
      </c>
      <c r="N89" s="2" t="s">
        <v>16</v>
      </c>
      <c r="O89" s="2" t="s">
        <v>16</v>
      </c>
      <c r="U89" t="str">
        <f>IF(AND(Tab_valori[[#This Row],[Valutazione]]=5,Tab_valori[[#This Row],[Valutazione sull''attenzione all''ambiente della città]]=10),Tab_valori[[#This Row],[Città Airbnb]],"-")</f>
        <v>-</v>
      </c>
    </row>
    <row r="90" spans="1:21" x14ac:dyDescent="0.2">
      <c r="A90" s="2">
        <v>4087</v>
      </c>
      <c r="B90" s="2" t="s">
        <v>221</v>
      </c>
      <c r="C90" s="2" t="s">
        <v>222</v>
      </c>
      <c r="D90" s="3">
        <v>209</v>
      </c>
      <c r="E90" s="2">
        <v>5</v>
      </c>
      <c r="F90" s="3">
        <f>Tab_valori[[#This Row],[Costo a Notte (€)]]*Tab_valori[[#This Row],[Numero Notti]]</f>
        <v>1045</v>
      </c>
      <c r="G90" s="3">
        <f>Tab_valori[[#This Row],[Spesa totale per ogni utente ]]/Tab_valori[[#This Row],[Membri della Famiglia]]</f>
        <v>348.33333333333331</v>
      </c>
      <c r="H90" s="2" t="s">
        <v>130</v>
      </c>
      <c r="I90" s="4">
        <v>27455</v>
      </c>
      <c r="J90" s="2">
        <v>3</v>
      </c>
      <c r="K90" s="2">
        <v>2</v>
      </c>
      <c r="L90" s="2">
        <v>3</v>
      </c>
      <c r="M90" s="2" t="s">
        <v>16</v>
      </c>
      <c r="N90" s="2" t="s">
        <v>16</v>
      </c>
      <c r="O90" s="2" t="s">
        <v>17</v>
      </c>
      <c r="U90" t="str">
        <f>IF(AND(Tab_valori[[#This Row],[Valutazione]]=5,Tab_valori[[#This Row],[Valutazione sull''attenzione all''ambiente della città]]=10),Tab_valori[[#This Row],[Città Airbnb]],"-")</f>
        <v>-</v>
      </c>
    </row>
    <row r="91" spans="1:21" x14ac:dyDescent="0.2">
      <c r="A91" s="2">
        <v>4944</v>
      </c>
      <c r="B91" s="2" t="s">
        <v>223</v>
      </c>
      <c r="C91" s="2" t="s">
        <v>224</v>
      </c>
      <c r="D91" s="3">
        <v>217</v>
      </c>
      <c r="E91" s="2">
        <v>2</v>
      </c>
      <c r="F91" s="3">
        <f>Tab_valori[[#This Row],[Costo a Notte (€)]]*Tab_valori[[#This Row],[Numero Notti]]</f>
        <v>434</v>
      </c>
      <c r="G91" s="3">
        <f>Tab_valori[[#This Row],[Spesa totale per ogni utente ]]/Tab_valori[[#This Row],[Membri della Famiglia]]</f>
        <v>108.5</v>
      </c>
      <c r="H91" s="2" t="s">
        <v>63</v>
      </c>
      <c r="I91" s="4">
        <v>20391</v>
      </c>
      <c r="J91" s="2">
        <v>4</v>
      </c>
      <c r="K91" s="2">
        <v>5</v>
      </c>
      <c r="L91" s="2">
        <v>6</v>
      </c>
      <c r="M91" s="2" t="s">
        <v>16</v>
      </c>
      <c r="N91" s="2" t="s">
        <v>16</v>
      </c>
      <c r="O91" s="2" t="s">
        <v>16</v>
      </c>
      <c r="U91" t="str">
        <f>IF(AND(Tab_valori[[#This Row],[Valutazione]]=5,Tab_valori[[#This Row],[Valutazione sull''attenzione all''ambiente della città]]=10),Tab_valori[[#This Row],[Città Airbnb]],"-")</f>
        <v>-</v>
      </c>
    </row>
    <row r="92" spans="1:21" x14ac:dyDescent="0.2">
      <c r="A92" s="2">
        <v>3527</v>
      </c>
      <c r="B92" s="2" t="s">
        <v>225</v>
      </c>
      <c r="C92" s="2" t="s">
        <v>226</v>
      </c>
      <c r="D92" s="3">
        <v>283</v>
      </c>
      <c r="E92" s="2">
        <v>5</v>
      </c>
      <c r="F92" s="3">
        <f>Tab_valori[[#This Row],[Costo a Notte (€)]]*Tab_valori[[#This Row],[Numero Notti]]</f>
        <v>1415</v>
      </c>
      <c r="G92" s="3">
        <f>Tab_valori[[#This Row],[Spesa totale per ogni utente ]]/Tab_valori[[#This Row],[Membri della Famiglia]]</f>
        <v>707.5</v>
      </c>
      <c r="H92" s="2" t="s">
        <v>45</v>
      </c>
      <c r="I92" s="4">
        <v>22518</v>
      </c>
      <c r="J92" s="2">
        <v>2</v>
      </c>
      <c r="K92" s="2">
        <v>2</v>
      </c>
      <c r="L92" s="2">
        <v>9</v>
      </c>
      <c r="M92" s="2" t="s">
        <v>17</v>
      </c>
      <c r="N92" s="2" t="s">
        <v>17</v>
      </c>
      <c r="O92" s="2" t="s">
        <v>16</v>
      </c>
      <c r="U92" t="str">
        <f>IF(AND(Tab_valori[[#This Row],[Valutazione]]=5,Tab_valori[[#This Row],[Valutazione sull''attenzione all''ambiente della città]]=10),Tab_valori[[#This Row],[Città Airbnb]],"-")</f>
        <v>-</v>
      </c>
    </row>
    <row r="93" spans="1:21" x14ac:dyDescent="0.2">
      <c r="A93" s="2">
        <v>4843</v>
      </c>
      <c r="B93" s="2" t="s">
        <v>227</v>
      </c>
      <c r="C93" s="2" t="s">
        <v>228</v>
      </c>
      <c r="D93" s="3">
        <v>163</v>
      </c>
      <c r="E93" s="2">
        <v>7</v>
      </c>
      <c r="F93" s="3">
        <f>Tab_valori[[#This Row],[Costo a Notte (€)]]*Tab_valori[[#This Row],[Numero Notti]]</f>
        <v>1141</v>
      </c>
      <c r="G93" s="3">
        <f>Tab_valori[[#This Row],[Spesa totale per ogni utente ]]/Tab_valori[[#This Row],[Membri della Famiglia]]</f>
        <v>228.2</v>
      </c>
      <c r="H93" s="2" t="s">
        <v>34</v>
      </c>
      <c r="I93" s="4">
        <v>33279</v>
      </c>
      <c r="J93" s="2">
        <v>5</v>
      </c>
      <c r="K93" s="2">
        <v>3</v>
      </c>
      <c r="L93" s="2">
        <v>1</v>
      </c>
      <c r="M93" s="2" t="s">
        <v>16</v>
      </c>
      <c r="N93" s="2" t="s">
        <v>17</v>
      </c>
      <c r="O93" s="2" t="s">
        <v>16</v>
      </c>
      <c r="U93" t="str">
        <f>IF(AND(Tab_valori[[#This Row],[Valutazione]]=5,Tab_valori[[#This Row],[Valutazione sull''attenzione all''ambiente della città]]=10),Tab_valori[[#This Row],[Città Airbnb]],"-")</f>
        <v>-</v>
      </c>
    </row>
    <row r="94" spans="1:21" x14ac:dyDescent="0.2">
      <c r="A94" s="2">
        <v>3299</v>
      </c>
      <c r="B94" s="2" t="s">
        <v>229</v>
      </c>
      <c r="C94" s="2" t="s">
        <v>230</v>
      </c>
      <c r="D94" s="3">
        <v>27</v>
      </c>
      <c r="E94" s="2">
        <v>3</v>
      </c>
      <c r="F94" s="3">
        <f>Tab_valori[[#This Row],[Costo a Notte (€)]]*Tab_valori[[#This Row],[Numero Notti]]</f>
        <v>81</v>
      </c>
      <c r="G94" s="3">
        <f>Tab_valori[[#This Row],[Spesa totale per ogni utente ]]/Tab_valori[[#This Row],[Membri della Famiglia]]</f>
        <v>27</v>
      </c>
      <c r="H94" s="2" t="s">
        <v>73</v>
      </c>
      <c r="I94" s="4">
        <v>34731</v>
      </c>
      <c r="J94" s="2">
        <v>3</v>
      </c>
      <c r="K94" s="2">
        <v>4</v>
      </c>
      <c r="L94" s="2">
        <v>4</v>
      </c>
      <c r="M94" s="2" t="s">
        <v>17</v>
      </c>
      <c r="N94" s="2" t="s">
        <v>17</v>
      </c>
      <c r="O94" s="2" t="s">
        <v>16</v>
      </c>
      <c r="U94" t="str">
        <f>IF(AND(Tab_valori[[#This Row],[Valutazione]]=5,Tab_valori[[#This Row],[Valutazione sull''attenzione all''ambiente della città]]=10),Tab_valori[[#This Row],[Città Airbnb]],"-")</f>
        <v>-</v>
      </c>
    </row>
    <row r="95" spans="1:21" x14ac:dyDescent="0.2">
      <c r="A95" s="2">
        <v>2653</v>
      </c>
      <c r="B95" s="2" t="s">
        <v>231</v>
      </c>
      <c r="C95" s="2" t="s">
        <v>232</v>
      </c>
      <c r="D95" s="3">
        <v>188</v>
      </c>
      <c r="E95" s="2">
        <v>3</v>
      </c>
      <c r="F95" s="3">
        <f>Tab_valori[[#This Row],[Costo a Notte (€)]]*Tab_valori[[#This Row],[Numero Notti]]</f>
        <v>564</v>
      </c>
      <c r="G95" s="3">
        <f>Tab_valori[[#This Row],[Spesa totale per ogni utente ]]/Tab_valori[[#This Row],[Membri della Famiglia]]</f>
        <v>94</v>
      </c>
      <c r="H95" s="2" t="s">
        <v>127</v>
      </c>
      <c r="I95" s="4">
        <v>32536</v>
      </c>
      <c r="J95" s="2">
        <v>6</v>
      </c>
      <c r="K95" s="2">
        <v>5</v>
      </c>
      <c r="L95" s="2">
        <v>4</v>
      </c>
      <c r="M95" s="2" t="s">
        <v>16</v>
      </c>
      <c r="N95" s="2" t="s">
        <v>16</v>
      </c>
      <c r="O95" s="2" t="s">
        <v>16</v>
      </c>
      <c r="U95" t="str">
        <f>IF(AND(Tab_valori[[#This Row],[Valutazione]]=5,Tab_valori[[#This Row],[Valutazione sull''attenzione all''ambiente della città]]=10),Tab_valori[[#This Row],[Città Airbnb]],"-")</f>
        <v>-</v>
      </c>
    </row>
    <row r="96" spans="1:21" x14ac:dyDescent="0.2">
      <c r="A96" s="2">
        <v>5065</v>
      </c>
      <c r="B96" s="2" t="s">
        <v>233</v>
      </c>
      <c r="C96" s="2" t="s">
        <v>234</v>
      </c>
      <c r="D96" s="3">
        <v>226</v>
      </c>
      <c r="E96" s="2">
        <v>1</v>
      </c>
      <c r="F96" s="3">
        <f>Tab_valori[[#This Row],[Costo a Notte (€)]]*Tab_valori[[#This Row],[Numero Notti]]</f>
        <v>226</v>
      </c>
      <c r="G96" s="3">
        <f>Tab_valori[[#This Row],[Spesa totale per ogni utente ]]/Tab_valori[[#This Row],[Membri della Famiglia]]</f>
        <v>113</v>
      </c>
      <c r="H96" s="2" t="s">
        <v>48</v>
      </c>
      <c r="I96" s="4">
        <v>24461</v>
      </c>
      <c r="J96" s="2">
        <v>2</v>
      </c>
      <c r="K96" s="2">
        <v>5</v>
      </c>
      <c r="L96" s="2">
        <v>5</v>
      </c>
      <c r="M96" s="2" t="s">
        <v>16</v>
      </c>
      <c r="N96" s="2" t="s">
        <v>17</v>
      </c>
      <c r="O96" s="2" t="s">
        <v>16</v>
      </c>
      <c r="U96" t="str">
        <f>IF(AND(Tab_valori[[#This Row],[Valutazione]]=5,Tab_valori[[#This Row],[Valutazione sull''attenzione all''ambiente della città]]=10),Tab_valori[[#This Row],[Città Airbnb]],"-")</f>
        <v>-</v>
      </c>
    </row>
    <row r="97" spans="1:21" x14ac:dyDescent="0.2">
      <c r="A97" s="2">
        <v>3319</v>
      </c>
      <c r="B97" s="2" t="s">
        <v>235</v>
      </c>
      <c r="C97" s="2" t="s">
        <v>236</v>
      </c>
      <c r="D97" s="3">
        <v>207</v>
      </c>
      <c r="E97" s="2">
        <v>10</v>
      </c>
      <c r="F97" s="3">
        <f>Tab_valori[[#This Row],[Costo a Notte (€)]]*Tab_valori[[#This Row],[Numero Notti]]</f>
        <v>2070</v>
      </c>
      <c r="G97" s="3">
        <f>Tab_valori[[#This Row],[Spesa totale per ogni utente ]]/Tab_valori[[#This Row],[Membri della Famiglia]]</f>
        <v>690</v>
      </c>
      <c r="H97" s="2" t="s">
        <v>189</v>
      </c>
      <c r="I97" s="4">
        <v>31732</v>
      </c>
      <c r="J97" s="2">
        <v>3</v>
      </c>
      <c r="K97" s="2">
        <v>3</v>
      </c>
      <c r="L97" s="2">
        <v>10</v>
      </c>
      <c r="M97" s="2" t="s">
        <v>16</v>
      </c>
      <c r="N97" s="2" t="s">
        <v>16</v>
      </c>
      <c r="O97" s="2" t="s">
        <v>17</v>
      </c>
      <c r="U97" t="str">
        <f>IF(AND(Tab_valori[[#This Row],[Valutazione]]=5,Tab_valori[[#This Row],[Valutazione sull''attenzione all''ambiente della città]]=10),Tab_valori[[#This Row],[Città Airbnb]],"-")</f>
        <v>-</v>
      </c>
    </row>
    <row r="98" spans="1:21" x14ac:dyDescent="0.2">
      <c r="A98" s="2">
        <v>3357</v>
      </c>
      <c r="B98" s="2" t="s">
        <v>237</v>
      </c>
      <c r="C98" s="2" t="s">
        <v>238</v>
      </c>
      <c r="D98" s="3">
        <v>267</v>
      </c>
      <c r="E98" s="2">
        <v>5</v>
      </c>
      <c r="F98" s="3">
        <f>Tab_valori[[#This Row],[Costo a Notte (€)]]*Tab_valori[[#This Row],[Numero Notti]]</f>
        <v>1335</v>
      </c>
      <c r="G98" s="3">
        <f>Tab_valori[[#This Row],[Spesa totale per ogni utente ]]/Tab_valori[[#This Row],[Membri della Famiglia]]</f>
        <v>190.71428571428572</v>
      </c>
      <c r="H98" s="2" t="s">
        <v>109</v>
      </c>
      <c r="I98" s="4">
        <v>24428</v>
      </c>
      <c r="J98" s="2">
        <v>7</v>
      </c>
      <c r="K98" s="2">
        <v>4</v>
      </c>
      <c r="L98" s="2">
        <v>8</v>
      </c>
      <c r="M98" s="2" t="s">
        <v>16</v>
      </c>
      <c r="N98" s="2" t="s">
        <v>16</v>
      </c>
      <c r="O98" s="2" t="s">
        <v>16</v>
      </c>
      <c r="U98" t="str">
        <f>IF(AND(Tab_valori[[#This Row],[Valutazione]]=5,Tab_valori[[#This Row],[Valutazione sull''attenzione all''ambiente della città]]=10),Tab_valori[[#This Row],[Città Airbnb]],"-")</f>
        <v>-</v>
      </c>
    </row>
    <row r="99" spans="1:21" x14ac:dyDescent="0.2">
      <c r="A99" s="2">
        <v>4833</v>
      </c>
      <c r="B99" s="2" t="s">
        <v>239</v>
      </c>
      <c r="C99" s="2" t="s">
        <v>240</v>
      </c>
      <c r="D99" s="3">
        <v>97</v>
      </c>
      <c r="E99" s="2">
        <v>10</v>
      </c>
      <c r="F99" s="3">
        <f>Tab_valori[[#This Row],[Costo a Notte (€)]]*Tab_valori[[#This Row],[Numero Notti]]</f>
        <v>970</v>
      </c>
      <c r="G99" s="3">
        <f>Tab_valori[[#This Row],[Spesa totale per ogni utente ]]/Tab_valori[[#This Row],[Membri della Famiglia]]</f>
        <v>161.66666666666666</v>
      </c>
      <c r="H99" s="2" t="s">
        <v>34</v>
      </c>
      <c r="I99" s="4">
        <v>20362</v>
      </c>
      <c r="J99" s="2">
        <v>6</v>
      </c>
      <c r="K99" s="2">
        <v>1</v>
      </c>
      <c r="L99" s="2">
        <v>4</v>
      </c>
      <c r="M99" s="2" t="s">
        <v>17</v>
      </c>
      <c r="N99" s="2" t="s">
        <v>16</v>
      </c>
      <c r="O99" s="2" t="s">
        <v>16</v>
      </c>
      <c r="U99" t="str">
        <f>IF(AND(Tab_valori[[#This Row],[Valutazione]]=5,Tab_valori[[#This Row],[Valutazione sull''attenzione all''ambiente della città]]=10),Tab_valori[[#This Row],[Città Airbnb]],"-")</f>
        <v>-</v>
      </c>
    </row>
    <row r="100" spans="1:21" x14ac:dyDescent="0.2">
      <c r="A100" s="2">
        <v>2998</v>
      </c>
      <c r="B100" s="2" t="s">
        <v>241</v>
      </c>
      <c r="C100" s="2" t="s">
        <v>242</v>
      </c>
      <c r="D100" s="3">
        <v>189</v>
      </c>
      <c r="E100" s="2">
        <v>10</v>
      </c>
      <c r="F100" s="3">
        <f>Tab_valori[[#This Row],[Costo a Notte (€)]]*Tab_valori[[#This Row],[Numero Notti]]</f>
        <v>1890</v>
      </c>
      <c r="G100" s="3">
        <f>Tab_valori[[#This Row],[Spesa totale per ogni utente ]]/Tab_valori[[#This Row],[Membri della Famiglia]]</f>
        <v>1890</v>
      </c>
      <c r="H100" s="2" t="s">
        <v>194</v>
      </c>
      <c r="I100" s="4">
        <v>32702</v>
      </c>
      <c r="J100" s="2">
        <v>1</v>
      </c>
      <c r="K100" s="2">
        <v>3</v>
      </c>
      <c r="L100" s="2">
        <v>2</v>
      </c>
      <c r="M100" s="2" t="s">
        <v>16</v>
      </c>
      <c r="N100" s="2" t="s">
        <v>17</v>
      </c>
      <c r="O100" s="2" t="s">
        <v>16</v>
      </c>
      <c r="U100" t="str">
        <f>IF(AND(Tab_valori[[#This Row],[Valutazione]]=5,Tab_valori[[#This Row],[Valutazione sull''attenzione all''ambiente della città]]=10),Tab_valori[[#This Row],[Città Airbnb]],"-")</f>
        <v>-</v>
      </c>
    </row>
    <row r="101" spans="1:21" x14ac:dyDescent="0.2">
      <c r="A101" s="2">
        <v>3366</v>
      </c>
      <c r="B101" s="2" t="s">
        <v>243</v>
      </c>
      <c r="C101" s="2" t="s">
        <v>244</v>
      </c>
      <c r="D101" s="3">
        <v>179</v>
      </c>
      <c r="E101" s="2">
        <v>7</v>
      </c>
      <c r="F101" s="3">
        <f>Tab_valori[[#This Row],[Costo a Notte (€)]]*Tab_valori[[#This Row],[Numero Notti]]</f>
        <v>1253</v>
      </c>
      <c r="G101" s="3">
        <f>Tab_valori[[#This Row],[Spesa totale per ogni utente ]]/Tab_valori[[#This Row],[Membri della Famiglia]]</f>
        <v>1253</v>
      </c>
      <c r="H101" s="2" t="s">
        <v>127</v>
      </c>
      <c r="I101" s="4">
        <v>26496</v>
      </c>
      <c r="J101" s="2">
        <v>1</v>
      </c>
      <c r="K101" s="2">
        <v>5</v>
      </c>
      <c r="L101" s="2">
        <v>9</v>
      </c>
      <c r="M101" s="2" t="s">
        <v>17</v>
      </c>
      <c r="N101" s="2" t="s">
        <v>16</v>
      </c>
      <c r="O101" s="2" t="s">
        <v>16</v>
      </c>
      <c r="U101" t="str">
        <f>IF(AND(Tab_valori[[#This Row],[Valutazione]]=5,Tab_valori[[#This Row],[Valutazione sull''attenzione all''ambiente della città]]=10),Tab_valori[[#This Row],[Città Airbnb]],"-")</f>
        <v>-</v>
      </c>
    </row>
    <row r="102" spans="1:21" x14ac:dyDescent="0.2">
      <c r="A102" s="2">
        <v>2731</v>
      </c>
      <c r="B102" s="2" t="s">
        <v>245</v>
      </c>
      <c r="C102" s="2" t="s">
        <v>42</v>
      </c>
      <c r="D102" s="3">
        <v>222</v>
      </c>
      <c r="E102" s="2">
        <v>10</v>
      </c>
      <c r="F102" s="3">
        <f>Tab_valori[[#This Row],[Costo a Notte (€)]]*Tab_valori[[#This Row],[Numero Notti]]</f>
        <v>2220</v>
      </c>
      <c r="G102" s="3">
        <f>Tab_valori[[#This Row],[Spesa totale per ogni utente ]]/Tab_valori[[#This Row],[Membri della Famiglia]]</f>
        <v>740</v>
      </c>
      <c r="H102" s="2" t="s">
        <v>246</v>
      </c>
      <c r="I102" s="4">
        <v>34649</v>
      </c>
      <c r="J102" s="2">
        <v>3</v>
      </c>
      <c r="K102" s="2">
        <v>3</v>
      </c>
      <c r="L102" s="2">
        <v>8</v>
      </c>
      <c r="M102" s="2" t="s">
        <v>16</v>
      </c>
      <c r="N102" s="2" t="s">
        <v>17</v>
      </c>
      <c r="O102" s="2" t="s">
        <v>16</v>
      </c>
      <c r="U102" t="str">
        <f>IF(AND(Tab_valori[[#This Row],[Valutazione]]=5,Tab_valori[[#This Row],[Valutazione sull''attenzione all''ambiente della città]]=10),Tab_valori[[#This Row],[Città Airbnb]],"-")</f>
        <v>-</v>
      </c>
    </row>
    <row r="103" spans="1:21" x14ac:dyDescent="0.2">
      <c r="A103" s="2">
        <v>4227</v>
      </c>
      <c r="B103" s="2" t="s">
        <v>247</v>
      </c>
      <c r="C103" s="2" t="s">
        <v>248</v>
      </c>
      <c r="D103" s="3">
        <v>129</v>
      </c>
      <c r="E103" s="2">
        <v>1</v>
      </c>
      <c r="F103" s="3">
        <f>Tab_valori[[#This Row],[Costo a Notte (€)]]*Tab_valori[[#This Row],[Numero Notti]]</f>
        <v>129</v>
      </c>
      <c r="G103" s="3">
        <f>Tab_valori[[#This Row],[Spesa totale per ogni utente ]]/Tab_valori[[#This Row],[Membri della Famiglia]]</f>
        <v>32.25</v>
      </c>
      <c r="H103" s="2" t="s">
        <v>164</v>
      </c>
      <c r="I103" s="4">
        <v>29003</v>
      </c>
      <c r="J103" s="2">
        <v>4</v>
      </c>
      <c r="K103" s="2">
        <v>2</v>
      </c>
      <c r="L103" s="2">
        <v>7</v>
      </c>
      <c r="M103" s="2" t="s">
        <v>16</v>
      </c>
      <c r="N103" s="2" t="s">
        <v>16</v>
      </c>
      <c r="O103" s="2" t="s">
        <v>16</v>
      </c>
      <c r="U103" t="str">
        <f>IF(AND(Tab_valori[[#This Row],[Valutazione]]=5,Tab_valori[[#This Row],[Valutazione sull''attenzione all''ambiente della città]]=10),Tab_valori[[#This Row],[Città Airbnb]],"-")</f>
        <v>-</v>
      </c>
    </row>
    <row r="104" spans="1:21" x14ac:dyDescent="0.2">
      <c r="A104" s="2">
        <v>3778</v>
      </c>
      <c r="B104" s="2" t="s">
        <v>249</v>
      </c>
      <c r="C104" s="2" t="s">
        <v>250</v>
      </c>
      <c r="D104" s="3">
        <v>35</v>
      </c>
      <c r="E104" s="2">
        <v>7</v>
      </c>
      <c r="F104" s="3">
        <f>Tab_valori[[#This Row],[Costo a Notte (€)]]*Tab_valori[[#This Row],[Numero Notti]]</f>
        <v>245</v>
      </c>
      <c r="G104" s="3">
        <f>Tab_valori[[#This Row],[Spesa totale per ogni utente ]]/Tab_valori[[#This Row],[Membri della Famiglia]]</f>
        <v>122.5</v>
      </c>
      <c r="H104" s="2" t="s">
        <v>137</v>
      </c>
      <c r="I104" s="4">
        <v>34650</v>
      </c>
      <c r="J104" s="2">
        <v>2</v>
      </c>
      <c r="K104" s="2">
        <v>2</v>
      </c>
      <c r="L104" s="2">
        <v>5</v>
      </c>
      <c r="M104" s="2" t="s">
        <v>17</v>
      </c>
      <c r="N104" s="2" t="s">
        <v>16</v>
      </c>
      <c r="O104" s="2" t="s">
        <v>17</v>
      </c>
      <c r="U104" t="str">
        <f>IF(AND(Tab_valori[[#This Row],[Valutazione]]=5,Tab_valori[[#This Row],[Valutazione sull''attenzione all''ambiente della città]]=10),Tab_valori[[#This Row],[Città Airbnb]],"-")</f>
        <v>-</v>
      </c>
    </row>
    <row r="105" spans="1:21" x14ac:dyDescent="0.2">
      <c r="A105" s="2">
        <v>3188</v>
      </c>
      <c r="B105" s="2" t="s">
        <v>251</v>
      </c>
      <c r="C105" s="2" t="s">
        <v>252</v>
      </c>
      <c r="D105" s="3">
        <v>89</v>
      </c>
      <c r="E105" s="2">
        <v>9</v>
      </c>
      <c r="F105" s="3">
        <f>Tab_valori[[#This Row],[Costo a Notte (€)]]*Tab_valori[[#This Row],[Numero Notti]]</f>
        <v>801</v>
      </c>
      <c r="G105" s="3">
        <f>Tab_valori[[#This Row],[Spesa totale per ogni utente ]]/Tab_valori[[#This Row],[Membri della Famiglia]]</f>
        <v>801</v>
      </c>
      <c r="H105" s="2" t="s">
        <v>73</v>
      </c>
      <c r="I105" s="4">
        <v>20919</v>
      </c>
      <c r="J105" s="2">
        <v>1</v>
      </c>
      <c r="K105" s="2">
        <v>3</v>
      </c>
      <c r="L105" s="2">
        <v>7</v>
      </c>
      <c r="M105" s="2" t="s">
        <v>16</v>
      </c>
      <c r="N105" s="2" t="s">
        <v>16</v>
      </c>
      <c r="O105" s="2" t="s">
        <v>17</v>
      </c>
      <c r="U105" t="str">
        <f>IF(AND(Tab_valori[[#This Row],[Valutazione]]=5,Tab_valori[[#This Row],[Valutazione sull''attenzione all''ambiente della città]]=10),Tab_valori[[#This Row],[Città Airbnb]],"-")</f>
        <v>-</v>
      </c>
    </row>
    <row r="106" spans="1:21" x14ac:dyDescent="0.2">
      <c r="A106" s="2">
        <v>2894</v>
      </c>
      <c r="B106" s="2" t="s">
        <v>253</v>
      </c>
      <c r="C106" s="2" t="s">
        <v>254</v>
      </c>
      <c r="D106" s="3">
        <v>32</v>
      </c>
      <c r="E106" s="2">
        <v>8</v>
      </c>
      <c r="F106" s="3">
        <f>Tab_valori[[#This Row],[Costo a Notte (€)]]*Tab_valori[[#This Row],[Numero Notti]]</f>
        <v>256</v>
      </c>
      <c r="G106" s="3">
        <f>Tab_valori[[#This Row],[Spesa totale per ogni utente ]]/Tab_valori[[#This Row],[Membri della Famiglia]]</f>
        <v>64</v>
      </c>
      <c r="H106" s="2" t="s">
        <v>164</v>
      </c>
      <c r="I106" s="4">
        <v>30823</v>
      </c>
      <c r="J106" s="2">
        <v>4</v>
      </c>
      <c r="K106" s="2">
        <v>5</v>
      </c>
      <c r="L106" s="2">
        <v>2</v>
      </c>
      <c r="M106" s="2" t="s">
        <v>17</v>
      </c>
      <c r="N106" s="2" t="s">
        <v>16</v>
      </c>
      <c r="O106" s="2" t="s">
        <v>17</v>
      </c>
      <c r="U106" t="str">
        <f>IF(AND(Tab_valori[[#This Row],[Valutazione]]=5,Tab_valori[[#This Row],[Valutazione sull''attenzione all''ambiente della città]]=10),Tab_valori[[#This Row],[Città Airbnb]],"-")</f>
        <v>-</v>
      </c>
    </row>
    <row r="107" spans="1:21" x14ac:dyDescent="0.2">
      <c r="A107" s="2">
        <v>2569</v>
      </c>
      <c r="B107" s="2" t="s">
        <v>255</v>
      </c>
      <c r="C107" s="2" t="s">
        <v>256</v>
      </c>
      <c r="D107" s="3">
        <v>49</v>
      </c>
      <c r="E107" s="2">
        <v>2</v>
      </c>
      <c r="F107" s="3">
        <f>Tab_valori[[#This Row],[Costo a Notte (€)]]*Tab_valori[[#This Row],[Numero Notti]]</f>
        <v>98</v>
      </c>
      <c r="G107" s="3">
        <f>Tab_valori[[#This Row],[Spesa totale per ogni utente ]]/Tab_valori[[#This Row],[Membri della Famiglia]]</f>
        <v>14</v>
      </c>
      <c r="H107" s="2" t="s">
        <v>82</v>
      </c>
      <c r="I107" s="4">
        <v>34932</v>
      </c>
      <c r="J107" s="2">
        <v>7</v>
      </c>
      <c r="K107" s="2">
        <v>5</v>
      </c>
      <c r="L107" s="2">
        <v>4</v>
      </c>
      <c r="M107" s="2" t="s">
        <v>17</v>
      </c>
      <c r="N107" s="2" t="s">
        <v>17</v>
      </c>
      <c r="O107" s="2" t="s">
        <v>16</v>
      </c>
      <c r="U107" t="str">
        <f>IF(AND(Tab_valori[[#This Row],[Valutazione]]=5,Tab_valori[[#This Row],[Valutazione sull''attenzione all''ambiente della città]]=10),Tab_valori[[#This Row],[Città Airbnb]],"-")</f>
        <v>-</v>
      </c>
    </row>
    <row r="108" spans="1:21" x14ac:dyDescent="0.2">
      <c r="A108" s="2">
        <v>2800</v>
      </c>
      <c r="B108" s="2" t="s">
        <v>257</v>
      </c>
      <c r="C108" s="2" t="s">
        <v>258</v>
      </c>
      <c r="D108" s="3">
        <v>38</v>
      </c>
      <c r="E108" s="2">
        <v>8</v>
      </c>
      <c r="F108" s="3">
        <f>Tab_valori[[#This Row],[Costo a Notte (€)]]*Tab_valori[[#This Row],[Numero Notti]]</f>
        <v>304</v>
      </c>
      <c r="G108" s="3">
        <f>Tab_valori[[#This Row],[Spesa totale per ogni utente ]]/Tab_valori[[#This Row],[Membri della Famiglia]]</f>
        <v>304</v>
      </c>
      <c r="H108" s="2" t="s">
        <v>67</v>
      </c>
      <c r="I108" s="4">
        <v>20817</v>
      </c>
      <c r="J108" s="2">
        <v>1</v>
      </c>
      <c r="K108" s="2">
        <v>5</v>
      </c>
      <c r="L108" s="2">
        <v>4</v>
      </c>
      <c r="M108" s="2" t="s">
        <v>16</v>
      </c>
      <c r="N108" s="2" t="s">
        <v>16</v>
      </c>
      <c r="O108" s="2" t="s">
        <v>16</v>
      </c>
      <c r="U108" t="str">
        <f>IF(AND(Tab_valori[[#This Row],[Valutazione]]=5,Tab_valori[[#This Row],[Valutazione sull''attenzione all''ambiente della città]]=10),Tab_valori[[#This Row],[Città Airbnb]],"-")</f>
        <v>-</v>
      </c>
    </row>
    <row r="109" spans="1:21" x14ac:dyDescent="0.2">
      <c r="A109" s="2">
        <v>2629</v>
      </c>
      <c r="B109" s="2" t="s">
        <v>259</v>
      </c>
      <c r="C109" s="2" t="s">
        <v>260</v>
      </c>
      <c r="D109" s="3">
        <v>156</v>
      </c>
      <c r="E109" s="2">
        <v>8</v>
      </c>
      <c r="F109" s="3">
        <f>Tab_valori[[#This Row],[Costo a Notte (€)]]*Tab_valori[[#This Row],[Numero Notti]]</f>
        <v>1248</v>
      </c>
      <c r="G109" s="3">
        <f>Tab_valori[[#This Row],[Spesa totale per ogni utente ]]/Tab_valori[[#This Row],[Membri della Famiglia]]</f>
        <v>178.28571428571428</v>
      </c>
      <c r="H109" s="2" t="s">
        <v>20</v>
      </c>
      <c r="I109" s="4">
        <v>32061</v>
      </c>
      <c r="J109" s="2">
        <v>7</v>
      </c>
      <c r="K109" s="2">
        <v>4</v>
      </c>
      <c r="L109" s="2">
        <v>4</v>
      </c>
      <c r="M109" s="2" t="s">
        <v>17</v>
      </c>
      <c r="N109" s="2" t="s">
        <v>17</v>
      </c>
      <c r="O109" s="2" t="s">
        <v>16</v>
      </c>
      <c r="U109" t="str">
        <f>IF(AND(Tab_valori[[#This Row],[Valutazione]]=5,Tab_valori[[#This Row],[Valutazione sull''attenzione all''ambiente della città]]=10),Tab_valori[[#This Row],[Città Airbnb]],"-")</f>
        <v>-</v>
      </c>
    </row>
    <row r="110" spans="1:21" x14ac:dyDescent="0.2">
      <c r="A110" s="2">
        <v>3838</v>
      </c>
      <c r="B110" s="2" t="s">
        <v>261</v>
      </c>
      <c r="C110" s="2" t="s">
        <v>262</v>
      </c>
      <c r="D110" s="3">
        <v>158</v>
      </c>
      <c r="E110" s="2">
        <v>4</v>
      </c>
      <c r="F110" s="3">
        <f>Tab_valori[[#This Row],[Costo a Notte (€)]]*Tab_valori[[#This Row],[Numero Notti]]</f>
        <v>632</v>
      </c>
      <c r="G110" s="3">
        <f>Tab_valori[[#This Row],[Spesa totale per ogni utente ]]/Tab_valori[[#This Row],[Membri della Famiglia]]</f>
        <v>105.33333333333333</v>
      </c>
      <c r="H110" s="2" t="s">
        <v>130</v>
      </c>
      <c r="I110" s="4">
        <v>31897</v>
      </c>
      <c r="J110" s="2">
        <v>6</v>
      </c>
      <c r="K110" s="2">
        <v>2</v>
      </c>
      <c r="L110" s="2">
        <v>2</v>
      </c>
      <c r="M110" s="2" t="s">
        <v>16</v>
      </c>
      <c r="N110" s="2" t="s">
        <v>16</v>
      </c>
      <c r="O110" s="2" t="s">
        <v>16</v>
      </c>
      <c r="U110" t="str">
        <f>IF(AND(Tab_valori[[#This Row],[Valutazione]]=5,Tab_valori[[#This Row],[Valutazione sull''attenzione all''ambiente della città]]=10),Tab_valori[[#This Row],[Città Airbnb]],"-")</f>
        <v>-</v>
      </c>
    </row>
    <row r="111" spans="1:21" x14ac:dyDescent="0.2">
      <c r="A111" s="2">
        <v>5047</v>
      </c>
      <c r="B111" s="2" t="s">
        <v>263</v>
      </c>
      <c r="C111" s="2" t="s">
        <v>264</v>
      </c>
      <c r="D111" s="3">
        <v>162</v>
      </c>
      <c r="E111" s="2">
        <v>10</v>
      </c>
      <c r="F111" s="3">
        <f>Tab_valori[[#This Row],[Costo a Notte (€)]]*Tab_valori[[#This Row],[Numero Notti]]</f>
        <v>1620</v>
      </c>
      <c r="G111" s="3">
        <f>Tab_valori[[#This Row],[Spesa totale per ogni utente ]]/Tab_valori[[#This Row],[Membri della Famiglia]]</f>
        <v>540</v>
      </c>
      <c r="H111" s="2" t="s">
        <v>58</v>
      </c>
      <c r="I111" s="4">
        <v>23261</v>
      </c>
      <c r="J111" s="2">
        <v>3</v>
      </c>
      <c r="K111" s="2">
        <v>3</v>
      </c>
      <c r="L111" s="2">
        <v>0</v>
      </c>
      <c r="M111" s="2" t="s">
        <v>16</v>
      </c>
      <c r="N111" s="2" t="s">
        <v>16</v>
      </c>
      <c r="O111" s="2" t="s">
        <v>16</v>
      </c>
      <c r="U111" t="str">
        <f>IF(AND(Tab_valori[[#This Row],[Valutazione]]=5,Tab_valori[[#This Row],[Valutazione sull''attenzione all''ambiente della città]]=10),Tab_valori[[#This Row],[Città Airbnb]],"-")</f>
        <v>-</v>
      </c>
    </row>
    <row r="112" spans="1:21" x14ac:dyDescent="0.2">
      <c r="A112" s="2">
        <v>4124</v>
      </c>
      <c r="B112" s="2" t="s">
        <v>265</v>
      </c>
      <c r="C112" s="2" t="s">
        <v>266</v>
      </c>
      <c r="D112" s="3">
        <v>142</v>
      </c>
      <c r="E112" s="2">
        <v>7</v>
      </c>
      <c r="F112" s="3">
        <f>Tab_valori[[#This Row],[Costo a Notte (€)]]*Tab_valori[[#This Row],[Numero Notti]]</f>
        <v>994</v>
      </c>
      <c r="G112" s="3">
        <f>Tab_valori[[#This Row],[Spesa totale per ogni utente ]]/Tab_valori[[#This Row],[Membri della Famiglia]]</f>
        <v>497</v>
      </c>
      <c r="H112" s="2" t="s">
        <v>246</v>
      </c>
      <c r="I112" s="4">
        <v>29518</v>
      </c>
      <c r="J112" s="2">
        <v>2</v>
      </c>
      <c r="K112" s="2">
        <v>3</v>
      </c>
      <c r="L112" s="2">
        <v>10</v>
      </c>
      <c r="M112" s="2" t="s">
        <v>17</v>
      </c>
      <c r="N112" s="2" t="s">
        <v>17</v>
      </c>
      <c r="O112" s="2" t="s">
        <v>17</v>
      </c>
      <c r="U112" t="str">
        <f>IF(AND(Tab_valori[[#This Row],[Valutazione]]=5,Tab_valori[[#This Row],[Valutazione sull''attenzione all''ambiente della città]]=10),Tab_valori[[#This Row],[Città Airbnb]],"-")</f>
        <v>-</v>
      </c>
    </row>
    <row r="113" spans="1:21" x14ac:dyDescent="0.2">
      <c r="A113" s="2">
        <v>2688</v>
      </c>
      <c r="B113" s="2" t="s">
        <v>267</v>
      </c>
      <c r="C113" s="2" t="s">
        <v>268</v>
      </c>
      <c r="D113" s="3">
        <v>227</v>
      </c>
      <c r="E113" s="2">
        <v>9</v>
      </c>
      <c r="F113" s="3">
        <f>Tab_valori[[#This Row],[Costo a Notte (€)]]*Tab_valori[[#This Row],[Numero Notti]]</f>
        <v>2043</v>
      </c>
      <c r="G113" s="3">
        <f>Tab_valori[[#This Row],[Spesa totale per ogni utente ]]/Tab_valori[[#This Row],[Membri della Famiglia]]</f>
        <v>510.75</v>
      </c>
      <c r="H113" s="2" t="s">
        <v>23</v>
      </c>
      <c r="I113" s="4">
        <v>21827</v>
      </c>
      <c r="J113" s="2">
        <v>4</v>
      </c>
      <c r="K113" s="2">
        <v>2</v>
      </c>
      <c r="L113" s="2">
        <v>1</v>
      </c>
      <c r="M113" s="2" t="s">
        <v>16</v>
      </c>
      <c r="N113" s="2" t="s">
        <v>16</v>
      </c>
      <c r="O113" s="2" t="s">
        <v>16</v>
      </c>
      <c r="U113" t="str">
        <f>IF(AND(Tab_valori[[#This Row],[Valutazione]]=5,Tab_valori[[#This Row],[Valutazione sull''attenzione all''ambiente della città]]=10),Tab_valori[[#This Row],[Città Airbnb]],"-")</f>
        <v>-</v>
      </c>
    </row>
    <row r="114" spans="1:21" x14ac:dyDescent="0.2">
      <c r="A114" s="2">
        <v>3586</v>
      </c>
      <c r="B114" s="2" t="s">
        <v>269</v>
      </c>
      <c r="C114" s="2" t="s">
        <v>270</v>
      </c>
      <c r="D114" s="3">
        <v>91</v>
      </c>
      <c r="E114" s="2">
        <v>5</v>
      </c>
      <c r="F114" s="3">
        <f>Tab_valori[[#This Row],[Costo a Notte (€)]]*Tab_valori[[#This Row],[Numero Notti]]</f>
        <v>455</v>
      </c>
      <c r="G114" s="3">
        <f>Tab_valori[[#This Row],[Spesa totale per ogni utente ]]/Tab_valori[[#This Row],[Membri della Famiglia]]</f>
        <v>65</v>
      </c>
      <c r="H114" s="2" t="s">
        <v>137</v>
      </c>
      <c r="I114" s="4">
        <v>20676</v>
      </c>
      <c r="J114" s="2">
        <v>7</v>
      </c>
      <c r="K114" s="2">
        <v>5</v>
      </c>
      <c r="L114" s="2">
        <v>3</v>
      </c>
      <c r="M114" s="2" t="s">
        <v>16</v>
      </c>
      <c r="N114" s="2" t="s">
        <v>17</v>
      </c>
      <c r="O114" s="2" t="s">
        <v>17</v>
      </c>
      <c r="U114" t="str">
        <f>IF(AND(Tab_valori[[#This Row],[Valutazione]]=5,Tab_valori[[#This Row],[Valutazione sull''attenzione all''ambiente della città]]=10),Tab_valori[[#This Row],[Città Airbnb]],"-")</f>
        <v>-</v>
      </c>
    </row>
    <row r="115" spans="1:21" x14ac:dyDescent="0.2">
      <c r="A115" s="2">
        <v>4465</v>
      </c>
      <c r="B115" s="2" t="s">
        <v>271</v>
      </c>
      <c r="C115" s="2" t="s">
        <v>272</v>
      </c>
      <c r="D115" s="3">
        <v>99</v>
      </c>
      <c r="E115" s="2">
        <v>5</v>
      </c>
      <c r="F115" s="3">
        <f>Tab_valori[[#This Row],[Costo a Notte (€)]]*Tab_valori[[#This Row],[Numero Notti]]</f>
        <v>495</v>
      </c>
      <c r="G115" s="3">
        <f>Tab_valori[[#This Row],[Spesa totale per ogni utente ]]/Tab_valori[[#This Row],[Membri della Famiglia]]</f>
        <v>165</v>
      </c>
      <c r="H115" s="2" t="s">
        <v>58</v>
      </c>
      <c r="I115" s="4">
        <v>33717</v>
      </c>
      <c r="J115" s="2">
        <v>3</v>
      </c>
      <c r="K115" s="2">
        <v>3</v>
      </c>
      <c r="L115" s="2">
        <v>2</v>
      </c>
      <c r="M115" s="2" t="s">
        <v>16</v>
      </c>
      <c r="N115" s="2" t="s">
        <v>17</v>
      </c>
      <c r="O115" s="2" t="s">
        <v>16</v>
      </c>
      <c r="U115" t="str">
        <f>IF(AND(Tab_valori[[#This Row],[Valutazione]]=5,Tab_valori[[#This Row],[Valutazione sull''attenzione all''ambiente della città]]=10),Tab_valori[[#This Row],[Città Airbnb]],"-")</f>
        <v>-</v>
      </c>
    </row>
    <row r="116" spans="1:21" x14ac:dyDescent="0.2">
      <c r="A116" s="2">
        <v>3956</v>
      </c>
      <c r="B116" s="2" t="s">
        <v>273</v>
      </c>
      <c r="C116" s="2" t="s">
        <v>274</v>
      </c>
      <c r="D116" s="3">
        <v>25</v>
      </c>
      <c r="E116" s="2">
        <v>4</v>
      </c>
      <c r="F116" s="3">
        <f>Tab_valori[[#This Row],[Costo a Notte (€)]]*Tab_valori[[#This Row],[Numero Notti]]</f>
        <v>100</v>
      </c>
      <c r="G116" s="3">
        <f>Tab_valori[[#This Row],[Spesa totale per ogni utente ]]/Tab_valori[[#This Row],[Membri della Famiglia]]</f>
        <v>50</v>
      </c>
      <c r="H116" s="2" t="s">
        <v>164</v>
      </c>
      <c r="I116" s="4">
        <v>20738</v>
      </c>
      <c r="J116" s="2">
        <v>2</v>
      </c>
      <c r="K116" s="2">
        <v>2</v>
      </c>
      <c r="L116" s="2">
        <v>6</v>
      </c>
      <c r="M116" s="2" t="s">
        <v>16</v>
      </c>
      <c r="N116" s="2" t="s">
        <v>16</v>
      </c>
      <c r="O116" s="2" t="s">
        <v>16</v>
      </c>
      <c r="U116" t="str">
        <f>IF(AND(Tab_valori[[#This Row],[Valutazione]]=5,Tab_valori[[#This Row],[Valutazione sull''attenzione all''ambiente della città]]=10),Tab_valori[[#This Row],[Città Airbnb]],"-")</f>
        <v>-</v>
      </c>
    </row>
    <row r="117" spans="1:21" x14ac:dyDescent="0.2">
      <c r="A117" s="2">
        <v>3233</v>
      </c>
      <c r="B117" s="2" t="s">
        <v>275</v>
      </c>
      <c r="C117" s="2" t="s">
        <v>276</v>
      </c>
      <c r="D117" s="3">
        <v>250</v>
      </c>
      <c r="E117" s="2">
        <v>5</v>
      </c>
      <c r="F117" s="3">
        <f>Tab_valori[[#This Row],[Costo a Notte (€)]]*Tab_valori[[#This Row],[Numero Notti]]</f>
        <v>1250</v>
      </c>
      <c r="G117" s="3">
        <f>Tab_valori[[#This Row],[Spesa totale per ogni utente ]]/Tab_valori[[#This Row],[Membri della Famiglia]]</f>
        <v>625</v>
      </c>
      <c r="H117" s="2" t="s">
        <v>82</v>
      </c>
      <c r="I117" s="4">
        <v>20875</v>
      </c>
      <c r="J117" s="2">
        <v>2</v>
      </c>
      <c r="K117" s="2">
        <v>5</v>
      </c>
      <c r="L117" s="2">
        <v>7</v>
      </c>
      <c r="M117" s="2" t="s">
        <v>16</v>
      </c>
      <c r="N117" s="2" t="s">
        <v>17</v>
      </c>
      <c r="O117" s="2" t="s">
        <v>17</v>
      </c>
      <c r="U117" t="str">
        <f>IF(AND(Tab_valori[[#This Row],[Valutazione]]=5,Tab_valori[[#This Row],[Valutazione sull''attenzione all''ambiente della città]]=10),Tab_valori[[#This Row],[Città Airbnb]],"-")</f>
        <v>-</v>
      </c>
    </row>
    <row r="118" spans="1:21" x14ac:dyDescent="0.2">
      <c r="A118" s="2">
        <v>2911</v>
      </c>
      <c r="B118" s="2" t="s">
        <v>277</v>
      </c>
      <c r="C118" s="2" t="s">
        <v>278</v>
      </c>
      <c r="D118" s="3">
        <v>24</v>
      </c>
      <c r="E118" s="2">
        <v>9</v>
      </c>
      <c r="F118" s="3">
        <f>Tab_valori[[#This Row],[Costo a Notte (€)]]*Tab_valori[[#This Row],[Numero Notti]]</f>
        <v>216</v>
      </c>
      <c r="G118" s="3">
        <f>Tab_valori[[#This Row],[Spesa totale per ogni utente ]]/Tab_valori[[#This Row],[Membri della Famiglia]]</f>
        <v>43.2</v>
      </c>
      <c r="H118" s="2" t="s">
        <v>189</v>
      </c>
      <c r="I118" s="4">
        <v>23356</v>
      </c>
      <c r="J118" s="2">
        <v>5</v>
      </c>
      <c r="K118" s="2">
        <v>1</v>
      </c>
      <c r="L118" s="2">
        <v>0</v>
      </c>
      <c r="M118" s="2" t="s">
        <v>16</v>
      </c>
      <c r="N118" s="2" t="s">
        <v>16</v>
      </c>
      <c r="O118" s="2" t="s">
        <v>16</v>
      </c>
      <c r="U118" t="str">
        <f>IF(AND(Tab_valori[[#This Row],[Valutazione]]=5,Tab_valori[[#This Row],[Valutazione sull''attenzione all''ambiente della città]]=10),Tab_valori[[#This Row],[Città Airbnb]],"-")</f>
        <v>-</v>
      </c>
    </row>
    <row r="119" spans="1:21" x14ac:dyDescent="0.2">
      <c r="A119" s="2">
        <v>4307</v>
      </c>
      <c r="B119" s="2" t="s">
        <v>279</v>
      </c>
      <c r="C119" s="2" t="s">
        <v>280</v>
      </c>
      <c r="D119" s="3">
        <v>229</v>
      </c>
      <c r="E119" s="2">
        <v>8</v>
      </c>
      <c r="F119" s="3">
        <f>Tab_valori[[#This Row],[Costo a Notte (€)]]*Tab_valori[[#This Row],[Numero Notti]]</f>
        <v>1832</v>
      </c>
      <c r="G119" s="3">
        <f>Tab_valori[[#This Row],[Spesa totale per ogni utente ]]/Tab_valori[[#This Row],[Membri della Famiglia]]</f>
        <v>458</v>
      </c>
      <c r="H119" s="2" t="s">
        <v>184</v>
      </c>
      <c r="I119" s="4">
        <v>34694</v>
      </c>
      <c r="J119" s="2">
        <v>4</v>
      </c>
      <c r="K119" s="2">
        <v>5</v>
      </c>
      <c r="L119" s="2">
        <v>2</v>
      </c>
      <c r="M119" s="2" t="s">
        <v>17</v>
      </c>
      <c r="N119" s="2" t="s">
        <v>16</v>
      </c>
      <c r="O119" s="2" t="s">
        <v>16</v>
      </c>
      <c r="U119" t="str">
        <f>IF(AND(Tab_valori[[#This Row],[Valutazione]]=5,Tab_valori[[#This Row],[Valutazione sull''attenzione all''ambiente della città]]=10),Tab_valori[[#This Row],[Città Airbnb]],"-")</f>
        <v>-</v>
      </c>
    </row>
    <row r="120" spans="1:21" x14ac:dyDescent="0.2">
      <c r="A120" s="2">
        <v>3736</v>
      </c>
      <c r="B120" s="2" t="s">
        <v>281</v>
      </c>
      <c r="C120" s="2" t="s">
        <v>282</v>
      </c>
      <c r="D120" s="3">
        <v>30</v>
      </c>
      <c r="E120" s="2">
        <v>4</v>
      </c>
      <c r="F120" s="3">
        <f>Tab_valori[[#This Row],[Costo a Notte (€)]]*Tab_valori[[#This Row],[Numero Notti]]</f>
        <v>120</v>
      </c>
      <c r="G120" s="3">
        <f>Tab_valori[[#This Row],[Spesa totale per ogni utente ]]/Tab_valori[[#This Row],[Membri della Famiglia]]</f>
        <v>40</v>
      </c>
      <c r="H120" s="2" t="s">
        <v>34</v>
      </c>
      <c r="I120" s="4">
        <v>33375</v>
      </c>
      <c r="J120" s="2">
        <v>3</v>
      </c>
      <c r="K120" s="2">
        <v>1</v>
      </c>
      <c r="L120" s="2">
        <v>1</v>
      </c>
      <c r="M120" s="2" t="s">
        <v>16</v>
      </c>
      <c r="N120" s="2" t="s">
        <v>17</v>
      </c>
      <c r="O120" s="2" t="s">
        <v>16</v>
      </c>
      <c r="U120" t="str">
        <f>IF(AND(Tab_valori[[#This Row],[Valutazione]]=5,Tab_valori[[#This Row],[Valutazione sull''attenzione all''ambiente della città]]=10),Tab_valori[[#This Row],[Città Airbnb]],"-")</f>
        <v>-</v>
      </c>
    </row>
    <row r="121" spans="1:21" x14ac:dyDescent="0.2">
      <c r="A121" s="2">
        <v>4135</v>
      </c>
      <c r="B121" s="2" t="s">
        <v>283</v>
      </c>
      <c r="C121" s="2" t="s">
        <v>284</v>
      </c>
      <c r="D121" s="3">
        <v>187</v>
      </c>
      <c r="E121" s="2">
        <v>4</v>
      </c>
      <c r="F121" s="3">
        <f>Tab_valori[[#This Row],[Costo a Notte (€)]]*Tab_valori[[#This Row],[Numero Notti]]</f>
        <v>748</v>
      </c>
      <c r="G121" s="3">
        <f>Tab_valori[[#This Row],[Spesa totale per ogni utente ]]/Tab_valori[[#This Row],[Membri della Famiglia]]</f>
        <v>187</v>
      </c>
      <c r="H121" s="2" t="s">
        <v>130</v>
      </c>
      <c r="I121" s="4">
        <v>32902</v>
      </c>
      <c r="J121" s="2">
        <v>4</v>
      </c>
      <c r="K121" s="2">
        <v>4</v>
      </c>
      <c r="L121" s="2">
        <v>8</v>
      </c>
      <c r="M121" s="2" t="s">
        <v>16</v>
      </c>
      <c r="N121" s="2" t="s">
        <v>16</v>
      </c>
      <c r="O121" s="2" t="s">
        <v>17</v>
      </c>
      <c r="U121" t="str">
        <f>IF(AND(Tab_valori[[#This Row],[Valutazione]]=5,Tab_valori[[#This Row],[Valutazione sull''attenzione all''ambiente della città]]=10),Tab_valori[[#This Row],[Città Airbnb]],"-")</f>
        <v>-</v>
      </c>
    </row>
    <row r="122" spans="1:21" x14ac:dyDescent="0.2">
      <c r="A122" s="2">
        <v>3275</v>
      </c>
      <c r="B122" s="2" t="s">
        <v>285</v>
      </c>
      <c r="C122" s="2" t="s">
        <v>286</v>
      </c>
      <c r="D122" s="3">
        <v>276</v>
      </c>
      <c r="E122" s="2">
        <v>10</v>
      </c>
      <c r="F122" s="3">
        <f>Tab_valori[[#This Row],[Costo a Notte (€)]]*Tab_valori[[#This Row],[Numero Notti]]</f>
        <v>2760</v>
      </c>
      <c r="G122" s="3">
        <f>Tab_valori[[#This Row],[Spesa totale per ogni utente ]]/Tab_valori[[#This Row],[Membri della Famiglia]]</f>
        <v>460</v>
      </c>
      <c r="H122" s="2" t="s">
        <v>40</v>
      </c>
      <c r="I122" s="4">
        <v>20641</v>
      </c>
      <c r="J122" s="2">
        <v>6</v>
      </c>
      <c r="K122" s="2">
        <v>5</v>
      </c>
      <c r="L122" s="2">
        <v>4</v>
      </c>
      <c r="M122" s="2" t="s">
        <v>16</v>
      </c>
      <c r="N122" s="2" t="s">
        <v>16</v>
      </c>
      <c r="O122" s="2" t="s">
        <v>17</v>
      </c>
      <c r="U122" t="str">
        <f>IF(AND(Tab_valori[[#This Row],[Valutazione]]=5,Tab_valori[[#This Row],[Valutazione sull''attenzione all''ambiente della città]]=10),Tab_valori[[#This Row],[Città Airbnb]],"-")</f>
        <v>-</v>
      </c>
    </row>
    <row r="123" spans="1:21" x14ac:dyDescent="0.2">
      <c r="A123" s="2">
        <v>4357</v>
      </c>
      <c r="B123" s="2" t="s">
        <v>287</v>
      </c>
      <c r="C123" s="2" t="s">
        <v>288</v>
      </c>
      <c r="D123" s="3">
        <v>156</v>
      </c>
      <c r="E123" s="2">
        <v>1</v>
      </c>
      <c r="F123" s="3">
        <f>Tab_valori[[#This Row],[Costo a Notte (€)]]*Tab_valori[[#This Row],[Numero Notti]]</f>
        <v>156</v>
      </c>
      <c r="G123" s="3">
        <f>Tab_valori[[#This Row],[Spesa totale per ogni utente ]]/Tab_valori[[#This Row],[Membri della Famiglia]]</f>
        <v>31.2</v>
      </c>
      <c r="H123" s="2" t="s">
        <v>67</v>
      </c>
      <c r="I123" s="4">
        <v>26240</v>
      </c>
      <c r="J123" s="2">
        <v>5</v>
      </c>
      <c r="K123" s="2">
        <v>4</v>
      </c>
      <c r="L123" s="2">
        <v>2</v>
      </c>
      <c r="M123" s="2" t="s">
        <v>16</v>
      </c>
      <c r="N123" s="2" t="s">
        <v>16</v>
      </c>
      <c r="O123" s="2" t="s">
        <v>16</v>
      </c>
      <c r="U123" t="str">
        <f>IF(AND(Tab_valori[[#This Row],[Valutazione]]=5,Tab_valori[[#This Row],[Valutazione sull''attenzione all''ambiente della città]]=10),Tab_valori[[#This Row],[Città Airbnb]],"-")</f>
        <v>-</v>
      </c>
    </row>
    <row r="124" spans="1:21" x14ac:dyDescent="0.2">
      <c r="A124" s="2">
        <v>3294</v>
      </c>
      <c r="B124" s="2" t="s">
        <v>289</v>
      </c>
      <c r="C124" s="2" t="s">
        <v>290</v>
      </c>
      <c r="D124" s="3">
        <v>158</v>
      </c>
      <c r="E124" s="2">
        <v>6</v>
      </c>
      <c r="F124" s="3">
        <f>Tab_valori[[#This Row],[Costo a Notte (€)]]*Tab_valori[[#This Row],[Numero Notti]]</f>
        <v>948</v>
      </c>
      <c r="G124" s="3">
        <f>Tab_valori[[#This Row],[Spesa totale per ogni utente ]]/Tab_valori[[#This Row],[Membri della Famiglia]]</f>
        <v>237</v>
      </c>
      <c r="H124" s="2" t="s">
        <v>291</v>
      </c>
      <c r="I124" s="4">
        <v>27908</v>
      </c>
      <c r="J124" s="2">
        <v>4</v>
      </c>
      <c r="K124" s="2">
        <v>5</v>
      </c>
      <c r="L124" s="2">
        <v>5</v>
      </c>
      <c r="M124" s="2" t="s">
        <v>16</v>
      </c>
      <c r="N124" s="2" t="s">
        <v>16</v>
      </c>
      <c r="O124" s="2" t="s">
        <v>16</v>
      </c>
      <c r="U124" t="str">
        <f>IF(AND(Tab_valori[[#This Row],[Valutazione]]=5,Tab_valori[[#This Row],[Valutazione sull''attenzione all''ambiente della città]]=10),Tab_valori[[#This Row],[Città Airbnb]],"-")</f>
        <v>-</v>
      </c>
    </row>
    <row r="125" spans="1:21" x14ac:dyDescent="0.2">
      <c r="A125" s="2">
        <v>4754</v>
      </c>
      <c r="B125" s="2" t="s">
        <v>292</v>
      </c>
      <c r="C125" s="2" t="s">
        <v>293</v>
      </c>
      <c r="D125" s="3">
        <v>161</v>
      </c>
      <c r="E125" s="2">
        <v>2</v>
      </c>
      <c r="F125" s="3">
        <f>Tab_valori[[#This Row],[Costo a Notte (€)]]*Tab_valori[[#This Row],[Numero Notti]]</f>
        <v>322</v>
      </c>
      <c r="G125" s="3">
        <f>Tab_valori[[#This Row],[Spesa totale per ogni utente ]]/Tab_valori[[#This Row],[Membri della Famiglia]]</f>
        <v>80.5</v>
      </c>
      <c r="H125" s="2" t="s">
        <v>40</v>
      </c>
      <c r="I125" s="4">
        <v>22644</v>
      </c>
      <c r="J125" s="2">
        <v>4</v>
      </c>
      <c r="K125" s="2">
        <v>2</v>
      </c>
      <c r="L125" s="2">
        <v>10</v>
      </c>
      <c r="M125" s="2" t="s">
        <v>16</v>
      </c>
      <c r="N125" s="2" t="s">
        <v>16</v>
      </c>
      <c r="O125" s="2" t="s">
        <v>16</v>
      </c>
      <c r="U125" t="str">
        <f>IF(AND(Tab_valori[[#This Row],[Valutazione]]=5,Tab_valori[[#This Row],[Valutazione sull''attenzione all''ambiente della città]]=10),Tab_valori[[#This Row],[Città Airbnb]],"-")</f>
        <v>-</v>
      </c>
    </row>
    <row r="126" spans="1:21" x14ac:dyDescent="0.2">
      <c r="A126" s="2">
        <v>3654</v>
      </c>
      <c r="B126" s="2" t="s">
        <v>294</v>
      </c>
      <c r="C126" s="2" t="s">
        <v>295</v>
      </c>
      <c r="D126" s="3">
        <v>29</v>
      </c>
      <c r="E126" s="2">
        <v>10</v>
      </c>
      <c r="F126" s="3">
        <f>Tab_valori[[#This Row],[Costo a Notte (€)]]*Tab_valori[[#This Row],[Numero Notti]]</f>
        <v>290</v>
      </c>
      <c r="G126" s="3">
        <f>Tab_valori[[#This Row],[Spesa totale per ogni utente ]]/Tab_valori[[#This Row],[Membri della Famiglia]]</f>
        <v>72.5</v>
      </c>
      <c r="H126" s="2" t="s">
        <v>94</v>
      </c>
      <c r="I126" s="4">
        <v>33166</v>
      </c>
      <c r="J126" s="2">
        <v>4</v>
      </c>
      <c r="K126" s="2">
        <v>4</v>
      </c>
      <c r="L126" s="2">
        <v>6</v>
      </c>
      <c r="M126" s="2" t="s">
        <v>17</v>
      </c>
      <c r="N126" s="2" t="s">
        <v>16</v>
      </c>
      <c r="O126" s="2" t="s">
        <v>16</v>
      </c>
      <c r="U126" t="str">
        <f>IF(AND(Tab_valori[[#This Row],[Valutazione]]=5,Tab_valori[[#This Row],[Valutazione sull''attenzione all''ambiente della città]]=10),Tab_valori[[#This Row],[Città Airbnb]],"-")</f>
        <v>-</v>
      </c>
    </row>
    <row r="127" spans="1:21" x14ac:dyDescent="0.2">
      <c r="A127" s="2">
        <v>3953</v>
      </c>
      <c r="B127" s="2" t="s">
        <v>296</v>
      </c>
      <c r="C127" s="2" t="s">
        <v>297</v>
      </c>
      <c r="D127" s="3">
        <v>169</v>
      </c>
      <c r="E127" s="2">
        <v>1</v>
      </c>
      <c r="F127" s="3">
        <f>Tab_valori[[#This Row],[Costo a Notte (€)]]*Tab_valori[[#This Row],[Numero Notti]]</f>
        <v>169</v>
      </c>
      <c r="G127" s="3">
        <f>Tab_valori[[#This Row],[Spesa totale per ogni utente ]]/Tab_valori[[#This Row],[Membri della Famiglia]]</f>
        <v>28.166666666666668</v>
      </c>
      <c r="H127" s="2" t="s">
        <v>20</v>
      </c>
      <c r="I127" s="4">
        <v>28921</v>
      </c>
      <c r="J127" s="2">
        <v>6</v>
      </c>
      <c r="K127" s="2">
        <v>1</v>
      </c>
      <c r="L127" s="2">
        <v>5</v>
      </c>
      <c r="M127" s="2" t="s">
        <v>17</v>
      </c>
      <c r="N127" s="2" t="s">
        <v>17</v>
      </c>
      <c r="O127" s="2" t="s">
        <v>17</v>
      </c>
      <c r="U127" t="str">
        <f>IF(AND(Tab_valori[[#This Row],[Valutazione]]=5,Tab_valori[[#This Row],[Valutazione sull''attenzione all''ambiente della città]]=10),Tab_valori[[#This Row],[Città Airbnb]],"-")</f>
        <v>-</v>
      </c>
    </row>
    <row r="128" spans="1:21" x14ac:dyDescent="0.2">
      <c r="A128" s="2">
        <v>3379</v>
      </c>
      <c r="B128" s="2" t="s">
        <v>298</v>
      </c>
      <c r="C128" s="2" t="s">
        <v>299</v>
      </c>
      <c r="D128" s="3">
        <v>278</v>
      </c>
      <c r="E128" s="2">
        <v>1</v>
      </c>
      <c r="F128" s="3">
        <f>Tab_valori[[#This Row],[Costo a Notte (€)]]*Tab_valori[[#This Row],[Numero Notti]]</f>
        <v>278</v>
      </c>
      <c r="G128" s="3">
        <f>Tab_valori[[#This Row],[Spesa totale per ogni utente ]]/Tab_valori[[#This Row],[Membri della Famiglia]]</f>
        <v>69.5</v>
      </c>
      <c r="H128" s="2" t="s">
        <v>73</v>
      </c>
      <c r="I128" s="4">
        <v>33211</v>
      </c>
      <c r="J128" s="2">
        <v>4</v>
      </c>
      <c r="K128" s="2">
        <v>3</v>
      </c>
      <c r="L128" s="2">
        <v>4</v>
      </c>
      <c r="M128" s="2" t="s">
        <v>17</v>
      </c>
      <c r="N128" s="2" t="s">
        <v>16</v>
      </c>
      <c r="O128" s="2" t="s">
        <v>17</v>
      </c>
      <c r="U128" t="str">
        <f>IF(AND(Tab_valori[[#This Row],[Valutazione]]=5,Tab_valori[[#This Row],[Valutazione sull''attenzione all''ambiente della città]]=10),Tab_valori[[#This Row],[Città Airbnb]],"-")</f>
        <v>-</v>
      </c>
    </row>
    <row r="129" spans="1:21" x14ac:dyDescent="0.2">
      <c r="A129" s="2">
        <v>3624</v>
      </c>
      <c r="B129" s="2" t="s">
        <v>300</v>
      </c>
      <c r="C129" s="2" t="s">
        <v>301</v>
      </c>
      <c r="D129" s="3">
        <v>275</v>
      </c>
      <c r="E129" s="2">
        <v>4</v>
      </c>
      <c r="F129" s="3">
        <f>Tab_valori[[#This Row],[Costo a Notte (€)]]*Tab_valori[[#This Row],[Numero Notti]]</f>
        <v>1100</v>
      </c>
      <c r="G129" s="3">
        <f>Tab_valori[[#This Row],[Spesa totale per ogni utente ]]/Tab_valori[[#This Row],[Membri della Famiglia]]</f>
        <v>220</v>
      </c>
      <c r="H129" s="2" t="s">
        <v>37</v>
      </c>
      <c r="I129" s="4">
        <v>29245</v>
      </c>
      <c r="J129" s="2">
        <v>5</v>
      </c>
      <c r="K129" s="2">
        <v>2</v>
      </c>
      <c r="L129" s="2">
        <v>6</v>
      </c>
      <c r="M129" s="2" t="s">
        <v>16</v>
      </c>
      <c r="N129" s="2" t="s">
        <v>16</v>
      </c>
      <c r="O129" s="2" t="s">
        <v>17</v>
      </c>
      <c r="U129" t="str">
        <f>IF(AND(Tab_valori[[#This Row],[Valutazione]]=5,Tab_valori[[#This Row],[Valutazione sull''attenzione all''ambiente della città]]=10),Tab_valori[[#This Row],[Città Airbnb]],"-")</f>
        <v>-</v>
      </c>
    </row>
    <row r="130" spans="1:21" x14ac:dyDescent="0.2">
      <c r="A130" s="2">
        <v>2672</v>
      </c>
      <c r="B130" s="2" t="s">
        <v>302</v>
      </c>
      <c r="C130" s="2" t="s">
        <v>303</v>
      </c>
      <c r="D130" s="3">
        <v>165</v>
      </c>
      <c r="E130" s="2">
        <v>3</v>
      </c>
      <c r="F130" s="3">
        <f>Tab_valori[[#This Row],[Costo a Notte (€)]]*Tab_valori[[#This Row],[Numero Notti]]</f>
        <v>495</v>
      </c>
      <c r="G130" s="3">
        <f>Tab_valori[[#This Row],[Spesa totale per ogni utente ]]/Tab_valori[[#This Row],[Membri della Famiglia]]</f>
        <v>82.5</v>
      </c>
      <c r="H130" s="2" t="s">
        <v>23</v>
      </c>
      <c r="I130" s="4">
        <v>20917</v>
      </c>
      <c r="J130" s="2">
        <v>6</v>
      </c>
      <c r="K130" s="2">
        <v>2</v>
      </c>
      <c r="L130" s="2">
        <v>2</v>
      </c>
      <c r="M130" s="2" t="s">
        <v>16</v>
      </c>
      <c r="N130" s="2" t="s">
        <v>16</v>
      </c>
      <c r="O130" s="2" t="s">
        <v>17</v>
      </c>
      <c r="U130" t="str">
        <f>IF(AND(Tab_valori[[#This Row],[Valutazione]]=5,Tab_valori[[#This Row],[Valutazione sull''attenzione all''ambiente della città]]=10),Tab_valori[[#This Row],[Città Airbnb]],"-")</f>
        <v>-</v>
      </c>
    </row>
    <row r="131" spans="1:21" x14ac:dyDescent="0.2">
      <c r="A131" s="2">
        <v>4575</v>
      </c>
      <c r="B131" s="2" t="s">
        <v>304</v>
      </c>
      <c r="C131" s="2" t="s">
        <v>305</v>
      </c>
      <c r="D131" s="3">
        <v>183</v>
      </c>
      <c r="E131" s="2">
        <v>4</v>
      </c>
      <c r="F131" s="3">
        <f>Tab_valori[[#This Row],[Costo a Notte (€)]]*Tab_valori[[#This Row],[Numero Notti]]</f>
        <v>732</v>
      </c>
      <c r="G131" s="3">
        <f>Tab_valori[[#This Row],[Spesa totale per ogni utente ]]/Tab_valori[[#This Row],[Membri della Famiglia]]</f>
        <v>146.4</v>
      </c>
      <c r="H131" s="2" t="s">
        <v>101</v>
      </c>
      <c r="I131" s="4">
        <v>34770</v>
      </c>
      <c r="J131" s="2">
        <v>5</v>
      </c>
      <c r="K131" s="2">
        <v>1</v>
      </c>
      <c r="L131" s="2">
        <v>2</v>
      </c>
      <c r="M131" s="2" t="s">
        <v>16</v>
      </c>
      <c r="N131" s="2" t="s">
        <v>16</v>
      </c>
      <c r="O131" s="2" t="s">
        <v>17</v>
      </c>
      <c r="U131" t="str">
        <f>IF(AND(Tab_valori[[#This Row],[Valutazione]]=5,Tab_valori[[#This Row],[Valutazione sull''attenzione all''ambiente della città]]=10),Tab_valori[[#This Row],[Città Airbnb]],"-")</f>
        <v>-</v>
      </c>
    </row>
    <row r="132" spans="1:21" x14ac:dyDescent="0.2">
      <c r="A132" s="2">
        <v>4070</v>
      </c>
      <c r="B132" s="2" t="s">
        <v>306</v>
      </c>
      <c r="C132" s="2" t="s">
        <v>307</v>
      </c>
      <c r="D132" s="3">
        <v>278</v>
      </c>
      <c r="E132" s="2">
        <v>3</v>
      </c>
      <c r="F132" s="3">
        <f>Tab_valori[[#This Row],[Costo a Notte (€)]]*Tab_valori[[#This Row],[Numero Notti]]</f>
        <v>834</v>
      </c>
      <c r="G132" s="3">
        <f>Tab_valori[[#This Row],[Spesa totale per ogni utente ]]/Tab_valori[[#This Row],[Membri della Famiglia]]</f>
        <v>834</v>
      </c>
      <c r="H132" s="2" t="s">
        <v>246</v>
      </c>
      <c r="I132" s="4">
        <v>27353</v>
      </c>
      <c r="J132" s="2">
        <v>1</v>
      </c>
      <c r="K132" s="2">
        <v>4</v>
      </c>
      <c r="L132" s="2">
        <v>1</v>
      </c>
      <c r="M132" s="2" t="s">
        <v>16</v>
      </c>
      <c r="N132" s="2" t="s">
        <v>16</v>
      </c>
      <c r="O132" s="2" t="s">
        <v>17</v>
      </c>
      <c r="U132" t="str">
        <f>IF(AND(Tab_valori[[#This Row],[Valutazione]]=5,Tab_valori[[#This Row],[Valutazione sull''attenzione all''ambiente della città]]=10),Tab_valori[[#This Row],[Città Airbnb]],"-")</f>
        <v>-</v>
      </c>
    </row>
    <row r="133" spans="1:21" x14ac:dyDescent="0.2">
      <c r="A133" s="2">
        <v>3273</v>
      </c>
      <c r="B133" s="2" t="s">
        <v>308</v>
      </c>
      <c r="C133" s="2" t="s">
        <v>309</v>
      </c>
      <c r="D133" s="3">
        <v>61</v>
      </c>
      <c r="E133" s="2">
        <v>9</v>
      </c>
      <c r="F133" s="3">
        <f>Tab_valori[[#This Row],[Costo a Notte (€)]]*Tab_valori[[#This Row],[Numero Notti]]</f>
        <v>549</v>
      </c>
      <c r="G133" s="3">
        <f>Tab_valori[[#This Row],[Spesa totale per ogni utente ]]/Tab_valori[[#This Row],[Membri della Famiglia]]</f>
        <v>109.8</v>
      </c>
      <c r="H133" s="2" t="s">
        <v>45</v>
      </c>
      <c r="I133" s="4">
        <v>26225</v>
      </c>
      <c r="J133" s="2">
        <v>5</v>
      </c>
      <c r="K133" s="2">
        <v>5</v>
      </c>
      <c r="L133" s="2">
        <v>3</v>
      </c>
      <c r="M133" s="2" t="s">
        <v>16</v>
      </c>
      <c r="N133" s="2" t="s">
        <v>16</v>
      </c>
      <c r="O133" s="2" t="s">
        <v>17</v>
      </c>
      <c r="U133" t="str">
        <f>IF(AND(Tab_valori[[#This Row],[Valutazione]]=5,Tab_valori[[#This Row],[Valutazione sull''attenzione all''ambiente della città]]=10),Tab_valori[[#This Row],[Città Airbnb]],"-")</f>
        <v>-</v>
      </c>
    </row>
    <row r="134" spans="1:21" x14ac:dyDescent="0.2">
      <c r="A134" s="2">
        <v>3368</v>
      </c>
      <c r="B134" s="2" t="s">
        <v>310</v>
      </c>
      <c r="C134" s="2" t="s">
        <v>311</v>
      </c>
      <c r="D134" s="3">
        <v>247</v>
      </c>
      <c r="E134" s="2">
        <v>10</v>
      </c>
      <c r="F134" s="3">
        <f>Tab_valori[[#This Row],[Costo a Notte (€)]]*Tab_valori[[#This Row],[Numero Notti]]</f>
        <v>2470</v>
      </c>
      <c r="G134" s="3">
        <f>Tab_valori[[#This Row],[Spesa totale per ogni utente ]]/Tab_valori[[#This Row],[Membri della Famiglia]]</f>
        <v>1235</v>
      </c>
      <c r="H134" s="2" t="s">
        <v>109</v>
      </c>
      <c r="I134" s="4">
        <v>30839</v>
      </c>
      <c r="J134" s="2">
        <v>2</v>
      </c>
      <c r="K134" s="2">
        <v>4</v>
      </c>
      <c r="L134" s="2">
        <v>9</v>
      </c>
      <c r="M134" s="2" t="s">
        <v>17</v>
      </c>
      <c r="N134" s="2" t="s">
        <v>17</v>
      </c>
      <c r="O134" s="2" t="s">
        <v>16</v>
      </c>
      <c r="U134" t="str">
        <f>IF(AND(Tab_valori[[#This Row],[Valutazione]]=5,Tab_valori[[#This Row],[Valutazione sull''attenzione all''ambiente della città]]=10),Tab_valori[[#This Row],[Città Airbnb]],"-")</f>
        <v>-</v>
      </c>
    </row>
    <row r="135" spans="1:21" x14ac:dyDescent="0.2">
      <c r="A135" s="2">
        <v>5134</v>
      </c>
      <c r="B135" s="2" t="s">
        <v>312</v>
      </c>
      <c r="C135" s="2" t="s">
        <v>313</v>
      </c>
      <c r="D135" s="3">
        <v>57</v>
      </c>
      <c r="E135" s="2">
        <v>3</v>
      </c>
      <c r="F135" s="3">
        <f>Tab_valori[[#This Row],[Costo a Notte (€)]]*Tab_valori[[#This Row],[Numero Notti]]</f>
        <v>171</v>
      </c>
      <c r="G135" s="3">
        <f>Tab_valori[[#This Row],[Spesa totale per ogni utente ]]/Tab_valori[[#This Row],[Membri della Famiglia]]</f>
        <v>57</v>
      </c>
      <c r="H135" s="2" t="s">
        <v>26</v>
      </c>
      <c r="I135" s="4">
        <v>28436</v>
      </c>
      <c r="J135" s="2">
        <v>3</v>
      </c>
      <c r="K135" s="2">
        <v>4</v>
      </c>
      <c r="L135" s="2">
        <v>0</v>
      </c>
      <c r="M135" s="2" t="s">
        <v>16</v>
      </c>
      <c r="N135" s="2" t="s">
        <v>17</v>
      </c>
      <c r="O135" s="2" t="s">
        <v>17</v>
      </c>
      <c r="U135" t="str">
        <f>IF(AND(Tab_valori[[#This Row],[Valutazione]]=5,Tab_valori[[#This Row],[Valutazione sull''attenzione all''ambiente della città]]=10),Tab_valori[[#This Row],[Città Airbnb]],"-")</f>
        <v>-</v>
      </c>
    </row>
    <row r="136" spans="1:21" x14ac:dyDescent="0.2">
      <c r="A136" s="2">
        <v>3827</v>
      </c>
      <c r="B136" s="2" t="s">
        <v>314</v>
      </c>
      <c r="C136" s="2" t="s">
        <v>315</v>
      </c>
      <c r="D136" s="3">
        <v>54</v>
      </c>
      <c r="E136" s="2">
        <v>1</v>
      </c>
      <c r="F136" s="3">
        <f>Tab_valori[[#This Row],[Costo a Notte (€)]]*Tab_valori[[#This Row],[Numero Notti]]</f>
        <v>54</v>
      </c>
      <c r="G136" s="3">
        <f>Tab_valori[[#This Row],[Spesa totale per ogni utente ]]/Tab_valori[[#This Row],[Membri della Famiglia]]</f>
        <v>10.8</v>
      </c>
      <c r="H136" s="2" t="s">
        <v>73</v>
      </c>
      <c r="I136" s="4">
        <v>22432</v>
      </c>
      <c r="J136" s="2">
        <v>5</v>
      </c>
      <c r="K136" s="2">
        <v>4</v>
      </c>
      <c r="L136" s="2">
        <v>3</v>
      </c>
      <c r="M136" s="2" t="s">
        <v>17</v>
      </c>
      <c r="N136" s="2" t="s">
        <v>17</v>
      </c>
      <c r="O136" s="2" t="s">
        <v>17</v>
      </c>
      <c r="U136" t="str">
        <f>IF(AND(Tab_valori[[#This Row],[Valutazione]]=5,Tab_valori[[#This Row],[Valutazione sull''attenzione all''ambiente della città]]=10),Tab_valori[[#This Row],[Città Airbnb]],"-")</f>
        <v>-</v>
      </c>
    </row>
    <row r="137" spans="1:21" x14ac:dyDescent="0.2">
      <c r="A137" s="2">
        <v>4593</v>
      </c>
      <c r="B137" s="2" t="s">
        <v>316</v>
      </c>
      <c r="C137" s="2" t="s">
        <v>317</v>
      </c>
      <c r="D137" s="3">
        <v>246</v>
      </c>
      <c r="E137" s="2">
        <v>3</v>
      </c>
      <c r="F137" s="3">
        <f>Tab_valori[[#This Row],[Costo a Notte (€)]]*Tab_valori[[#This Row],[Numero Notti]]</f>
        <v>738</v>
      </c>
      <c r="G137" s="3">
        <f>Tab_valori[[#This Row],[Spesa totale per ogni utente ]]/Tab_valori[[#This Row],[Membri della Famiglia]]</f>
        <v>105.42857142857143</v>
      </c>
      <c r="H137" s="2" t="s">
        <v>94</v>
      </c>
      <c r="I137" s="4">
        <v>20943</v>
      </c>
      <c r="J137" s="2">
        <v>7</v>
      </c>
      <c r="K137" s="2">
        <v>2</v>
      </c>
      <c r="L137" s="2">
        <v>4</v>
      </c>
      <c r="M137" s="2" t="s">
        <v>16</v>
      </c>
      <c r="N137" s="2" t="s">
        <v>16</v>
      </c>
      <c r="O137" s="2" t="s">
        <v>16</v>
      </c>
      <c r="U137" t="str">
        <f>IF(AND(Tab_valori[[#This Row],[Valutazione]]=5,Tab_valori[[#This Row],[Valutazione sull''attenzione all''ambiente della città]]=10),Tab_valori[[#This Row],[Città Airbnb]],"-")</f>
        <v>-</v>
      </c>
    </row>
    <row r="138" spans="1:21" x14ac:dyDescent="0.2">
      <c r="A138" s="2">
        <v>5548</v>
      </c>
      <c r="B138" s="2" t="s">
        <v>318</v>
      </c>
      <c r="C138" s="2" t="s">
        <v>319</v>
      </c>
      <c r="D138" s="3">
        <v>139</v>
      </c>
      <c r="E138" s="2">
        <v>4</v>
      </c>
      <c r="F138" s="3">
        <f>Tab_valori[[#This Row],[Costo a Notte (€)]]*Tab_valori[[#This Row],[Numero Notti]]</f>
        <v>556</v>
      </c>
      <c r="G138" s="3">
        <f>Tab_valori[[#This Row],[Spesa totale per ogni utente ]]/Tab_valori[[#This Row],[Membri della Famiglia]]</f>
        <v>556</v>
      </c>
      <c r="H138" s="2" t="s">
        <v>82</v>
      </c>
      <c r="I138" s="4">
        <v>24456</v>
      </c>
      <c r="J138" s="2">
        <v>1</v>
      </c>
      <c r="K138" s="2">
        <v>4</v>
      </c>
      <c r="L138" s="2">
        <v>0</v>
      </c>
      <c r="M138" s="2" t="s">
        <v>16</v>
      </c>
      <c r="N138" s="2" t="s">
        <v>16</v>
      </c>
      <c r="O138" s="2" t="s">
        <v>16</v>
      </c>
      <c r="U138" t="str">
        <f>IF(AND(Tab_valori[[#This Row],[Valutazione]]=5,Tab_valori[[#This Row],[Valutazione sull''attenzione all''ambiente della città]]=10),Tab_valori[[#This Row],[Città Airbnb]],"-")</f>
        <v>-</v>
      </c>
    </row>
    <row r="139" spans="1:21" x14ac:dyDescent="0.2">
      <c r="A139" s="2">
        <v>3128</v>
      </c>
      <c r="B139" s="2" t="s">
        <v>320</v>
      </c>
      <c r="C139" s="2" t="s">
        <v>321</v>
      </c>
      <c r="D139" s="3">
        <v>245</v>
      </c>
      <c r="E139" s="2">
        <v>6</v>
      </c>
      <c r="F139" s="3">
        <f>Tab_valori[[#This Row],[Costo a Notte (€)]]*Tab_valori[[#This Row],[Numero Notti]]</f>
        <v>1470</v>
      </c>
      <c r="G139" s="3">
        <f>Tab_valori[[#This Row],[Spesa totale per ogni utente ]]/Tab_valori[[#This Row],[Membri della Famiglia]]</f>
        <v>1470</v>
      </c>
      <c r="H139" s="2" t="s">
        <v>29</v>
      </c>
      <c r="I139" s="4">
        <v>32935</v>
      </c>
      <c r="J139" s="2">
        <v>1</v>
      </c>
      <c r="K139" s="2">
        <v>5</v>
      </c>
      <c r="L139" s="2">
        <v>9</v>
      </c>
      <c r="M139" s="2" t="s">
        <v>17</v>
      </c>
      <c r="N139" s="2" t="s">
        <v>16</v>
      </c>
      <c r="O139" s="2" t="s">
        <v>17</v>
      </c>
      <c r="U139" t="str">
        <f>IF(AND(Tab_valori[[#This Row],[Valutazione]]=5,Tab_valori[[#This Row],[Valutazione sull''attenzione all''ambiente della città]]=10),Tab_valori[[#This Row],[Città Airbnb]],"-")</f>
        <v>-</v>
      </c>
    </row>
    <row r="140" spans="1:21" x14ac:dyDescent="0.2">
      <c r="A140" s="2">
        <v>4918</v>
      </c>
      <c r="B140" s="2" t="s">
        <v>322</v>
      </c>
      <c r="C140" s="2" t="s">
        <v>323</v>
      </c>
      <c r="D140" s="3">
        <v>291</v>
      </c>
      <c r="E140" s="2">
        <v>2</v>
      </c>
      <c r="F140" s="3">
        <f>Tab_valori[[#This Row],[Costo a Notte (€)]]*Tab_valori[[#This Row],[Numero Notti]]</f>
        <v>582</v>
      </c>
      <c r="G140" s="3">
        <f>Tab_valori[[#This Row],[Spesa totale per ogni utente ]]/Tab_valori[[#This Row],[Membri della Famiglia]]</f>
        <v>145.5</v>
      </c>
      <c r="H140" s="2" t="s">
        <v>26</v>
      </c>
      <c r="I140" s="4">
        <v>20197</v>
      </c>
      <c r="J140" s="2">
        <v>4</v>
      </c>
      <c r="K140" s="2">
        <v>1</v>
      </c>
      <c r="L140" s="2">
        <v>3</v>
      </c>
      <c r="M140" s="2" t="s">
        <v>16</v>
      </c>
      <c r="N140" s="2" t="s">
        <v>16</v>
      </c>
      <c r="O140" s="2" t="s">
        <v>16</v>
      </c>
      <c r="U140" t="str">
        <f>IF(AND(Tab_valori[[#This Row],[Valutazione]]=5,Tab_valori[[#This Row],[Valutazione sull''attenzione all''ambiente della città]]=10),Tab_valori[[#This Row],[Città Airbnb]],"-")</f>
        <v>-</v>
      </c>
    </row>
    <row r="141" spans="1:21" x14ac:dyDescent="0.2">
      <c r="A141" s="2">
        <v>4453</v>
      </c>
      <c r="B141" s="2" t="s">
        <v>324</v>
      </c>
      <c r="C141" s="2" t="s">
        <v>325</v>
      </c>
      <c r="D141" s="3">
        <v>284</v>
      </c>
      <c r="E141" s="2">
        <v>5</v>
      </c>
      <c r="F141" s="3">
        <f>Tab_valori[[#This Row],[Costo a Notte (€)]]*Tab_valori[[#This Row],[Numero Notti]]</f>
        <v>1420</v>
      </c>
      <c r="G141" s="3">
        <f>Tab_valori[[#This Row],[Spesa totale per ogni utente ]]/Tab_valori[[#This Row],[Membri della Famiglia]]</f>
        <v>473.33333333333331</v>
      </c>
      <c r="H141" s="2" t="s">
        <v>94</v>
      </c>
      <c r="I141" s="4">
        <v>34283</v>
      </c>
      <c r="J141" s="2">
        <v>3</v>
      </c>
      <c r="K141" s="2">
        <v>2</v>
      </c>
      <c r="L141" s="2">
        <v>5</v>
      </c>
      <c r="M141" s="2" t="s">
        <v>16</v>
      </c>
      <c r="N141" s="2" t="s">
        <v>16</v>
      </c>
      <c r="O141" s="2" t="s">
        <v>17</v>
      </c>
      <c r="U141" t="str">
        <f>IF(AND(Tab_valori[[#This Row],[Valutazione]]=5,Tab_valori[[#This Row],[Valutazione sull''attenzione all''ambiente della città]]=10),Tab_valori[[#This Row],[Città Airbnb]],"-")</f>
        <v>-</v>
      </c>
    </row>
    <row r="142" spans="1:21" x14ac:dyDescent="0.2">
      <c r="A142" s="2">
        <v>4769</v>
      </c>
      <c r="B142" s="2" t="s">
        <v>326</v>
      </c>
      <c r="C142" s="2" t="s">
        <v>327</v>
      </c>
      <c r="D142" s="3">
        <v>285</v>
      </c>
      <c r="E142" s="2">
        <v>5</v>
      </c>
      <c r="F142" s="3">
        <f>Tab_valori[[#This Row],[Costo a Notte (€)]]*Tab_valori[[#This Row],[Numero Notti]]</f>
        <v>1425</v>
      </c>
      <c r="G142" s="3">
        <f>Tab_valori[[#This Row],[Spesa totale per ogni utente ]]/Tab_valori[[#This Row],[Membri della Famiglia]]</f>
        <v>203.57142857142858</v>
      </c>
      <c r="H142" s="2" t="s">
        <v>142</v>
      </c>
      <c r="I142" s="4">
        <v>21961</v>
      </c>
      <c r="J142" s="2">
        <v>7</v>
      </c>
      <c r="K142" s="2">
        <v>3</v>
      </c>
      <c r="L142" s="2">
        <v>1</v>
      </c>
      <c r="M142" s="2" t="s">
        <v>16</v>
      </c>
      <c r="N142" s="2" t="s">
        <v>17</v>
      </c>
      <c r="O142" s="2" t="s">
        <v>16</v>
      </c>
      <c r="U142" t="str">
        <f>IF(AND(Tab_valori[[#This Row],[Valutazione]]=5,Tab_valori[[#This Row],[Valutazione sull''attenzione all''ambiente della città]]=10),Tab_valori[[#This Row],[Città Airbnb]],"-")</f>
        <v>-</v>
      </c>
    </row>
    <row r="143" spans="1:21" x14ac:dyDescent="0.2">
      <c r="A143" s="2">
        <v>4375</v>
      </c>
      <c r="B143" s="2" t="s">
        <v>328</v>
      </c>
      <c r="C143" s="2" t="s">
        <v>329</v>
      </c>
      <c r="D143" s="3">
        <v>197</v>
      </c>
      <c r="E143" s="2">
        <v>6</v>
      </c>
      <c r="F143" s="3">
        <f>Tab_valori[[#This Row],[Costo a Notte (€)]]*Tab_valori[[#This Row],[Numero Notti]]</f>
        <v>1182</v>
      </c>
      <c r="G143" s="3">
        <f>Tab_valori[[#This Row],[Spesa totale per ogni utente ]]/Tab_valori[[#This Row],[Membri della Famiglia]]</f>
        <v>168.85714285714286</v>
      </c>
      <c r="H143" s="2" t="s">
        <v>53</v>
      </c>
      <c r="I143" s="4">
        <v>24852</v>
      </c>
      <c r="J143" s="2">
        <v>7</v>
      </c>
      <c r="K143" s="2">
        <v>4</v>
      </c>
      <c r="L143" s="2">
        <v>9</v>
      </c>
      <c r="M143" s="2" t="s">
        <v>17</v>
      </c>
      <c r="N143" s="2" t="s">
        <v>16</v>
      </c>
      <c r="O143" s="2" t="s">
        <v>16</v>
      </c>
      <c r="U143" t="str">
        <f>IF(AND(Tab_valori[[#This Row],[Valutazione]]=5,Tab_valori[[#This Row],[Valutazione sull''attenzione all''ambiente della città]]=10),Tab_valori[[#This Row],[Città Airbnb]],"-")</f>
        <v>-</v>
      </c>
    </row>
    <row r="144" spans="1:21" x14ac:dyDescent="0.2">
      <c r="A144" s="2">
        <v>5241</v>
      </c>
      <c r="B144" s="2" t="s">
        <v>330</v>
      </c>
      <c r="C144" s="2" t="s">
        <v>331</v>
      </c>
      <c r="D144" s="3">
        <v>234</v>
      </c>
      <c r="E144" s="2">
        <v>6</v>
      </c>
      <c r="F144" s="3">
        <f>Tab_valori[[#This Row],[Costo a Notte (€)]]*Tab_valori[[#This Row],[Numero Notti]]</f>
        <v>1404</v>
      </c>
      <c r="G144" s="3">
        <f>Tab_valori[[#This Row],[Spesa totale per ogni utente ]]/Tab_valori[[#This Row],[Membri della Famiglia]]</f>
        <v>280.8</v>
      </c>
      <c r="H144" s="2" t="s">
        <v>76</v>
      </c>
      <c r="I144" s="4">
        <v>20114</v>
      </c>
      <c r="J144" s="2">
        <v>5</v>
      </c>
      <c r="K144" s="2">
        <v>4</v>
      </c>
      <c r="L144" s="2">
        <v>5</v>
      </c>
      <c r="M144" s="2" t="s">
        <v>17</v>
      </c>
      <c r="N144" s="2" t="s">
        <v>17</v>
      </c>
      <c r="O144" s="2" t="s">
        <v>17</v>
      </c>
      <c r="U144" t="str">
        <f>IF(AND(Tab_valori[[#This Row],[Valutazione]]=5,Tab_valori[[#This Row],[Valutazione sull''attenzione all''ambiente della città]]=10),Tab_valori[[#This Row],[Città Airbnb]],"-")</f>
        <v>-</v>
      </c>
    </row>
    <row r="145" spans="1:21" x14ac:dyDescent="0.2">
      <c r="A145" s="2">
        <v>3445</v>
      </c>
      <c r="B145" s="2" t="s">
        <v>332</v>
      </c>
      <c r="C145" s="2" t="s">
        <v>333</v>
      </c>
      <c r="D145" s="3">
        <v>270</v>
      </c>
      <c r="E145" s="2">
        <v>10</v>
      </c>
      <c r="F145" s="3">
        <f>Tab_valori[[#This Row],[Costo a Notte (€)]]*Tab_valori[[#This Row],[Numero Notti]]</f>
        <v>2700</v>
      </c>
      <c r="G145" s="3">
        <f>Tab_valori[[#This Row],[Spesa totale per ogni utente ]]/Tab_valori[[#This Row],[Membri della Famiglia]]</f>
        <v>900</v>
      </c>
      <c r="H145" s="2" t="s">
        <v>73</v>
      </c>
      <c r="I145" s="4">
        <v>27924</v>
      </c>
      <c r="J145" s="2">
        <v>3</v>
      </c>
      <c r="K145" s="2">
        <v>1</v>
      </c>
      <c r="L145" s="2">
        <v>10</v>
      </c>
      <c r="M145" s="2" t="s">
        <v>16</v>
      </c>
      <c r="N145" s="2" t="s">
        <v>16</v>
      </c>
      <c r="O145" s="2" t="s">
        <v>16</v>
      </c>
      <c r="U145" t="str">
        <f>IF(AND(Tab_valori[[#This Row],[Valutazione]]=5,Tab_valori[[#This Row],[Valutazione sull''attenzione all''ambiente della città]]=10),Tab_valori[[#This Row],[Città Airbnb]],"-")</f>
        <v>-</v>
      </c>
    </row>
    <row r="146" spans="1:21" x14ac:dyDescent="0.2">
      <c r="A146" s="2">
        <v>4862</v>
      </c>
      <c r="B146" s="2" t="s">
        <v>334</v>
      </c>
      <c r="C146" s="2" t="s">
        <v>335</v>
      </c>
      <c r="D146" s="3">
        <v>56</v>
      </c>
      <c r="E146" s="2">
        <v>2</v>
      </c>
      <c r="F146" s="3">
        <f>Tab_valori[[#This Row],[Costo a Notte (€)]]*Tab_valori[[#This Row],[Numero Notti]]</f>
        <v>112</v>
      </c>
      <c r="G146" s="3">
        <f>Tab_valori[[#This Row],[Spesa totale per ogni utente ]]/Tab_valori[[#This Row],[Membri della Famiglia]]</f>
        <v>16</v>
      </c>
      <c r="H146" s="2" t="s">
        <v>246</v>
      </c>
      <c r="I146" s="4">
        <v>33396</v>
      </c>
      <c r="J146" s="2">
        <v>7</v>
      </c>
      <c r="K146" s="2">
        <v>2</v>
      </c>
      <c r="L146" s="2">
        <v>5</v>
      </c>
      <c r="M146" s="2" t="s">
        <v>16</v>
      </c>
      <c r="N146" s="2" t="s">
        <v>16</v>
      </c>
      <c r="O146" s="2" t="s">
        <v>17</v>
      </c>
      <c r="U146" t="str">
        <f>IF(AND(Tab_valori[[#This Row],[Valutazione]]=5,Tab_valori[[#This Row],[Valutazione sull''attenzione all''ambiente della città]]=10),Tab_valori[[#This Row],[Città Airbnb]],"-")</f>
        <v>-</v>
      </c>
    </row>
    <row r="147" spans="1:21" x14ac:dyDescent="0.2">
      <c r="A147" s="2">
        <v>4024</v>
      </c>
      <c r="B147" s="2" t="s">
        <v>336</v>
      </c>
      <c r="C147" s="2" t="s">
        <v>337</v>
      </c>
      <c r="D147" s="3">
        <v>210</v>
      </c>
      <c r="E147" s="2">
        <v>5</v>
      </c>
      <c r="F147" s="3">
        <f>Tab_valori[[#This Row],[Costo a Notte (€)]]*Tab_valori[[#This Row],[Numero Notti]]</f>
        <v>1050</v>
      </c>
      <c r="G147" s="3">
        <f>Tab_valori[[#This Row],[Spesa totale per ogni utente ]]/Tab_valori[[#This Row],[Membri della Famiglia]]</f>
        <v>210</v>
      </c>
      <c r="H147" s="2" t="s">
        <v>23</v>
      </c>
      <c r="I147" s="4">
        <v>22033</v>
      </c>
      <c r="J147" s="2">
        <v>5</v>
      </c>
      <c r="K147" s="2">
        <v>1</v>
      </c>
      <c r="L147" s="2">
        <v>0</v>
      </c>
      <c r="M147" s="2" t="s">
        <v>16</v>
      </c>
      <c r="N147" s="2" t="s">
        <v>17</v>
      </c>
      <c r="O147" s="2" t="s">
        <v>17</v>
      </c>
      <c r="U147" t="str">
        <f>IF(AND(Tab_valori[[#This Row],[Valutazione]]=5,Tab_valori[[#This Row],[Valutazione sull''attenzione all''ambiente della città]]=10),Tab_valori[[#This Row],[Città Airbnb]],"-")</f>
        <v>-</v>
      </c>
    </row>
    <row r="148" spans="1:21" x14ac:dyDescent="0.2">
      <c r="A148" s="2">
        <v>4039</v>
      </c>
      <c r="B148" s="2" t="s">
        <v>338</v>
      </c>
      <c r="C148" s="2" t="s">
        <v>339</v>
      </c>
      <c r="D148" s="3">
        <v>251</v>
      </c>
      <c r="E148" s="2">
        <v>8</v>
      </c>
      <c r="F148" s="3">
        <f>Tab_valori[[#This Row],[Costo a Notte (€)]]*Tab_valori[[#This Row],[Numero Notti]]</f>
        <v>2008</v>
      </c>
      <c r="G148" s="3">
        <f>Tab_valori[[#This Row],[Spesa totale per ogni utente ]]/Tab_valori[[#This Row],[Membri della Famiglia]]</f>
        <v>401.6</v>
      </c>
      <c r="H148" s="2" t="s">
        <v>127</v>
      </c>
      <c r="I148" s="4">
        <v>28716</v>
      </c>
      <c r="J148" s="2">
        <v>5</v>
      </c>
      <c r="K148" s="2">
        <v>1</v>
      </c>
      <c r="L148" s="2">
        <v>4</v>
      </c>
      <c r="M148" s="2" t="s">
        <v>16</v>
      </c>
      <c r="N148" s="2" t="s">
        <v>16</v>
      </c>
      <c r="O148" s="2" t="s">
        <v>16</v>
      </c>
      <c r="U148" t="str">
        <f>IF(AND(Tab_valori[[#This Row],[Valutazione]]=5,Tab_valori[[#This Row],[Valutazione sull''attenzione all''ambiente della città]]=10),Tab_valori[[#This Row],[Città Airbnb]],"-")</f>
        <v>-</v>
      </c>
    </row>
    <row r="149" spans="1:21" x14ac:dyDescent="0.2">
      <c r="A149" s="2">
        <v>5017</v>
      </c>
      <c r="B149" s="2" t="s">
        <v>340</v>
      </c>
      <c r="C149" s="2" t="s">
        <v>341</v>
      </c>
      <c r="D149" s="3">
        <v>296</v>
      </c>
      <c r="E149" s="2">
        <v>9</v>
      </c>
      <c r="F149" s="3">
        <f>Tab_valori[[#This Row],[Costo a Notte (€)]]*Tab_valori[[#This Row],[Numero Notti]]</f>
        <v>2664</v>
      </c>
      <c r="G149" s="3">
        <f>Tab_valori[[#This Row],[Spesa totale per ogni utente ]]/Tab_valori[[#This Row],[Membri della Famiglia]]</f>
        <v>2664</v>
      </c>
      <c r="H149" s="2" t="s">
        <v>184</v>
      </c>
      <c r="I149" s="4">
        <v>21338</v>
      </c>
      <c r="J149" s="2">
        <v>1</v>
      </c>
      <c r="K149" s="2">
        <v>2</v>
      </c>
      <c r="L149" s="2">
        <v>0</v>
      </c>
      <c r="M149" s="2" t="s">
        <v>17</v>
      </c>
      <c r="N149" s="2" t="s">
        <v>16</v>
      </c>
      <c r="O149" s="2" t="s">
        <v>17</v>
      </c>
      <c r="U149" t="str">
        <f>IF(AND(Tab_valori[[#This Row],[Valutazione]]=5,Tab_valori[[#This Row],[Valutazione sull''attenzione all''ambiente della città]]=10),Tab_valori[[#This Row],[Città Airbnb]],"-")</f>
        <v>-</v>
      </c>
    </row>
    <row r="150" spans="1:21" x14ac:dyDescent="0.2">
      <c r="A150" s="2">
        <v>4388</v>
      </c>
      <c r="B150" s="2" t="s">
        <v>342</v>
      </c>
      <c r="C150" s="2" t="s">
        <v>343</v>
      </c>
      <c r="D150" s="3">
        <v>50</v>
      </c>
      <c r="E150" s="2">
        <v>8</v>
      </c>
      <c r="F150" s="3">
        <f>Tab_valori[[#This Row],[Costo a Notte (€)]]*Tab_valori[[#This Row],[Numero Notti]]</f>
        <v>400</v>
      </c>
      <c r="G150" s="3">
        <f>Tab_valori[[#This Row],[Spesa totale per ogni utente ]]/Tab_valori[[#This Row],[Membri della Famiglia]]</f>
        <v>133.33333333333334</v>
      </c>
      <c r="H150" s="2" t="s">
        <v>94</v>
      </c>
      <c r="I150" s="4">
        <v>25813</v>
      </c>
      <c r="J150" s="2">
        <v>3</v>
      </c>
      <c r="K150" s="2">
        <v>4</v>
      </c>
      <c r="L150" s="2">
        <v>7</v>
      </c>
      <c r="M150" s="2" t="s">
        <v>17</v>
      </c>
      <c r="N150" s="2" t="s">
        <v>16</v>
      </c>
      <c r="O150" s="2" t="s">
        <v>17</v>
      </c>
      <c r="U150" t="str">
        <f>IF(AND(Tab_valori[[#This Row],[Valutazione]]=5,Tab_valori[[#This Row],[Valutazione sull''attenzione all''ambiente della città]]=10),Tab_valori[[#This Row],[Città Airbnb]],"-")</f>
        <v>-</v>
      </c>
    </row>
    <row r="151" spans="1:21" x14ac:dyDescent="0.2">
      <c r="A151" s="2">
        <v>3092</v>
      </c>
      <c r="B151" s="2" t="s">
        <v>344</v>
      </c>
      <c r="C151" s="2" t="s">
        <v>345</v>
      </c>
      <c r="D151" s="3">
        <v>105</v>
      </c>
      <c r="E151" s="2">
        <v>4</v>
      </c>
      <c r="F151" s="3">
        <f>Tab_valori[[#This Row],[Costo a Notte (€)]]*Tab_valori[[#This Row],[Numero Notti]]</f>
        <v>420</v>
      </c>
      <c r="G151" s="3">
        <f>Tab_valori[[#This Row],[Spesa totale per ogni utente ]]/Tab_valori[[#This Row],[Membri della Famiglia]]</f>
        <v>420</v>
      </c>
      <c r="H151" s="2" t="s">
        <v>20</v>
      </c>
      <c r="I151" s="4">
        <v>34761</v>
      </c>
      <c r="J151" s="2">
        <v>1</v>
      </c>
      <c r="K151" s="2">
        <v>1</v>
      </c>
      <c r="L151" s="2">
        <v>7</v>
      </c>
      <c r="M151" s="2" t="s">
        <v>17</v>
      </c>
      <c r="N151" s="2" t="s">
        <v>17</v>
      </c>
      <c r="O151" s="2" t="s">
        <v>16</v>
      </c>
      <c r="U151" t="str">
        <f>IF(AND(Tab_valori[[#This Row],[Valutazione]]=5,Tab_valori[[#This Row],[Valutazione sull''attenzione all''ambiente della città]]=10),Tab_valori[[#This Row],[Città Airbnb]],"-")</f>
        <v>-</v>
      </c>
    </row>
    <row r="152" spans="1:21" x14ac:dyDescent="0.2">
      <c r="A152" s="2">
        <v>4770</v>
      </c>
      <c r="B152" s="2" t="s">
        <v>346</v>
      </c>
      <c r="C152" s="2" t="s">
        <v>347</v>
      </c>
      <c r="D152" s="3">
        <v>42</v>
      </c>
      <c r="E152" s="2">
        <v>10</v>
      </c>
      <c r="F152" s="3">
        <f>Tab_valori[[#This Row],[Costo a Notte (€)]]*Tab_valori[[#This Row],[Numero Notti]]</f>
        <v>420</v>
      </c>
      <c r="G152" s="3">
        <f>Tab_valori[[#This Row],[Spesa totale per ogni utente ]]/Tab_valori[[#This Row],[Membri della Famiglia]]</f>
        <v>420</v>
      </c>
      <c r="H152" s="2" t="s">
        <v>63</v>
      </c>
      <c r="I152" s="4">
        <v>26330</v>
      </c>
      <c r="J152" s="2">
        <v>1</v>
      </c>
      <c r="K152" s="2">
        <v>2</v>
      </c>
      <c r="L152" s="2">
        <v>4</v>
      </c>
      <c r="M152" s="2" t="s">
        <v>17</v>
      </c>
      <c r="N152" s="2" t="s">
        <v>17</v>
      </c>
      <c r="O152" s="2" t="s">
        <v>16</v>
      </c>
      <c r="U152" t="str">
        <f>IF(AND(Tab_valori[[#This Row],[Valutazione]]=5,Tab_valori[[#This Row],[Valutazione sull''attenzione all''ambiente della città]]=10),Tab_valori[[#This Row],[Città Airbnb]],"-")</f>
        <v>-</v>
      </c>
    </row>
    <row r="153" spans="1:21" x14ac:dyDescent="0.2">
      <c r="A153" s="2">
        <v>5395</v>
      </c>
      <c r="B153" s="2" t="s">
        <v>348</v>
      </c>
      <c r="C153" s="2" t="s">
        <v>349</v>
      </c>
      <c r="D153" s="3">
        <v>300</v>
      </c>
      <c r="E153" s="2">
        <v>1</v>
      </c>
      <c r="F153" s="3">
        <f>Tab_valori[[#This Row],[Costo a Notte (€)]]*Tab_valori[[#This Row],[Numero Notti]]</f>
        <v>300</v>
      </c>
      <c r="G153" s="3">
        <f>Tab_valori[[#This Row],[Spesa totale per ogni utente ]]/Tab_valori[[#This Row],[Membri della Famiglia]]</f>
        <v>75</v>
      </c>
      <c r="H153" s="2" t="s">
        <v>246</v>
      </c>
      <c r="I153" s="4">
        <v>30234</v>
      </c>
      <c r="J153" s="2">
        <v>4</v>
      </c>
      <c r="K153" s="2">
        <v>4</v>
      </c>
      <c r="L153" s="2">
        <v>7</v>
      </c>
      <c r="M153" s="2" t="s">
        <v>17</v>
      </c>
      <c r="N153" s="2" t="s">
        <v>16</v>
      </c>
      <c r="O153" s="2" t="s">
        <v>17</v>
      </c>
      <c r="U153" t="str">
        <f>IF(AND(Tab_valori[[#This Row],[Valutazione]]=5,Tab_valori[[#This Row],[Valutazione sull''attenzione all''ambiente della città]]=10),Tab_valori[[#This Row],[Città Airbnb]],"-")</f>
        <v>-</v>
      </c>
    </row>
    <row r="154" spans="1:21" x14ac:dyDescent="0.2">
      <c r="A154" s="2">
        <v>4665</v>
      </c>
      <c r="B154" s="2" t="s">
        <v>350</v>
      </c>
      <c r="C154" s="2" t="s">
        <v>351</v>
      </c>
      <c r="D154" s="3">
        <v>133</v>
      </c>
      <c r="E154" s="2">
        <v>8</v>
      </c>
      <c r="F154" s="3">
        <f>Tab_valori[[#This Row],[Costo a Notte (€)]]*Tab_valori[[#This Row],[Numero Notti]]</f>
        <v>1064</v>
      </c>
      <c r="G154" s="3">
        <f>Tab_valori[[#This Row],[Spesa totale per ogni utente ]]/Tab_valori[[#This Row],[Membri della Famiglia]]</f>
        <v>354.66666666666669</v>
      </c>
      <c r="H154" s="2" t="s">
        <v>15</v>
      </c>
      <c r="I154" s="4">
        <v>33809</v>
      </c>
      <c r="J154" s="2">
        <v>3</v>
      </c>
      <c r="K154" s="2">
        <v>3</v>
      </c>
      <c r="L154" s="2">
        <v>9</v>
      </c>
      <c r="M154" s="2" t="s">
        <v>17</v>
      </c>
      <c r="N154" s="2" t="s">
        <v>16</v>
      </c>
      <c r="O154" s="2" t="s">
        <v>16</v>
      </c>
      <c r="U154" t="str">
        <f>IF(AND(Tab_valori[[#This Row],[Valutazione]]=5,Tab_valori[[#This Row],[Valutazione sull''attenzione all''ambiente della città]]=10),Tab_valori[[#This Row],[Città Airbnb]],"-")</f>
        <v>-</v>
      </c>
    </row>
    <row r="155" spans="1:21" x14ac:dyDescent="0.2">
      <c r="A155" s="2">
        <v>4901</v>
      </c>
      <c r="B155" s="2" t="s">
        <v>352</v>
      </c>
      <c r="C155" s="2" t="s">
        <v>353</v>
      </c>
      <c r="D155" s="3">
        <v>230</v>
      </c>
      <c r="E155" s="2">
        <v>10</v>
      </c>
      <c r="F155" s="3">
        <f>Tab_valori[[#This Row],[Costo a Notte (€)]]*Tab_valori[[#This Row],[Numero Notti]]</f>
        <v>2300</v>
      </c>
      <c r="G155" s="3">
        <f>Tab_valori[[#This Row],[Spesa totale per ogni utente ]]/Tab_valori[[#This Row],[Membri della Famiglia]]</f>
        <v>766.66666666666663</v>
      </c>
      <c r="H155" s="2" t="s">
        <v>91</v>
      </c>
      <c r="I155" s="4">
        <v>34219</v>
      </c>
      <c r="J155" s="2">
        <v>3</v>
      </c>
      <c r="K155" s="2">
        <v>1</v>
      </c>
      <c r="L155" s="2">
        <v>0</v>
      </c>
      <c r="M155" s="2" t="s">
        <v>17</v>
      </c>
      <c r="N155" s="2" t="s">
        <v>16</v>
      </c>
      <c r="O155" s="2" t="s">
        <v>16</v>
      </c>
      <c r="U155" t="str">
        <f>IF(AND(Tab_valori[[#This Row],[Valutazione]]=5,Tab_valori[[#This Row],[Valutazione sull''attenzione all''ambiente della città]]=10),Tab_valori[[#This Row],[Città Airbnb]],"-")</f>
        <v>-</v>
      </c>
    </row>
    <row r="156" spans="1:21" x14ac:dyDescent="0.2">
      <c r="A156" s="2">
        <v>4346</v>
      </c>
      <c r="B156" s="2" t="s">
        <v>354</v>
      </c>
      <c r="C156" s="2" t="s">
        <v>355</v>
      </c>
      <c r="D156" s="3">
        <v>195</v>
      </c>
      <c r="E156" s="2">
        <v>4</v>
      </c>
      <c r="F156" s="3">
        <f>Tab_valori[[#This Row],[Costo a Notte (€)]]*Tab_valori[[#This Row],[Numero Notti]]</f>
        <v>780</v>
      </c>
      <c r="G156" s="3">
        <f>Tab_valori[[#This Row],[Spesa totale per ogni utente ]]/Tab_valori[[#This Row],[Membri della Famiglia]]</f>
        <v>390</v>
      </c>
      <c r="H156" s="2" t="s">
        <v>23</v>
      </c>
      <c r="I156" s="4">
        <v>28142</v>
      </c>
      <c r="J156" s="2">
        <v>2</v>
      </c>
      <c r="K156" s="2">
        <v>1</v>
      </c>
      <c r="L156" s="2">
        <v>4</v>
      </c>
      <c r="M156" s="2" t="s">
        <v>16</v>
      </c>
      <c r="N156" s="2" t="s">
        <v>16</v>
      </c>
      <c r="O156" s="2" t="s">
        <v>16</v>
      </c>
      <c r="U156" t="str">
        <f>IF(AND(Tab_valori[[#This Row],[Valutazione]]=5,Tab_valori[[#This Row],[Valutazione sull''attenzione all''ambiente della città]]=10),Tab_valori[[#This Row],[Città Airbnb]],"-")</f>
        <v>-</v>
      </c>
    </row>
    <row r="157" spans="1:21" x14ac:dyDescent="0.2">
      <c r="A157" s="2">
        <v>4840</v>
      </c>
      <c r="B157" s="2" t="s">
        <v>356</v>
      </c>
      <c r="C157" s="2" t="s">
        <v>357</v>
      </c>
      <c r="D157" s="3">
        <v>51</v>
      </c>
      <c r="E157" s="2">
        <v>4</v>
      </c>
      <c r="F157" s="3">
        <f>Tab_valori[[#This Row],[Costo a Notte (€)]]*Tab_valori[[#This Row],[Numero Notti]]</f>
        <v>204</v>
      </c>
      <c r="G157" s="3">
        <f>Tab_valori[[#This Row],[Spesa totale per ogni utente ]]/Tab_valori[[#This Row],[Membri della Famiglia]]</f>
        <v>204</v>
      </c>
      <c r="H157" s="2" t="s">
        <v>101</v>
      </c>
      <c r="I157" s="4">
        <v>21950</v>
      </c>
      <c r="J157" s="2">
        <v>1</v>
      </c>
      <c r="K157" s="2">
        <v>4</v>
      </c>
      <c r="L157" s="2">
        <v>8</v>
      </c>
      <c r="M157" s="2" t="s">
        <v>17</v>
      </c>
      <c r="N157" s="2" t="s">
        <v>17</v>
      </c>
      <c r="O157" s="2" t="s">
        <v>17</v>
      </c>
      <c r="U157" t="str">
        <f>IF(AND(Tab_valori[[#This Row],[Valutazione]]=5,Tab_valori[[#This Row],[Valutazione sull''attenzione all''ambiente della città]]=10),Tab_valori[[#This Row],[Città Airbnb]],"-")</f>
        <v>-</v>
      </c>
    </row>
    <row r="158" spans="1:21" x14ac:dyDescent="0.2">
      <c r="A158" s="2">
        <v>2565</v>
      </c>
      <c r="B158" s="2" t="s">
        <v>358</v>
      </c>
      <c r="C158" s="2" t="s">
        <v>359</v>
      </c>
      <c r="D158" s="3">
        <v>116</v>
      </c>
      <c r="E158" s="2">
        <v>7</v>
      </c>
      <c r="F158" s="3">
        <f>Tab_valori[[#This Row],[Costo a Notte (€)]]*Tab_valori[[#This Row],[Numero Notti]]</f>
        <v>812</v>
      </c>
      <c r="G158" s="3">
        <f>Tab_valori[[#This Row],[Spesa totale per ogni utente ]]/Tab_valori[[#This Row],[Membri della Famiglia]]</f>
        <v>162.4</v>
      </c>
      <c r="H158" s="2" t="s">
        <v>73</v>
      </c>
      <c r="I158" s="4">
        <v>22246</v>
      </c>
      <c r="J158" s="2">
        <v>5</v>
      </c>
      <c r="K158" s="2">
        <v>2</v>
      </c>
      <c r="L158" s="2">
        <v>6</v>
      </c>
      <c r="M158" s="2" t="s">
        <v>17</v>
      </c>
      <c r="N158" s="2" t="s">
        <v>17</v>
      </c>
      <c r="O158" s="2" t="s">
        <v>16</v>
      </c>
      <c r="U158" t="str">
        <f>IF(AND(Tab_valori[[#This Row],[Valutazione]]=5,Tab_valori[[#This Row],[Valutazione sull''attenzione all''ambiente della città]]=10),Tab_valori[[#This Row],[Città Airbnb]],"-")</f>
        <v>-</v>
      </c>
    </row>
    <row r="159" spans="1:21" x14ac:dyDescent="0.2">
      <c r="A159" s="2">
        <v>3789</v>
      </c>
      <c r="B159" s="2" t="s">
        <v>360</v>
      </c>
      <c r="C159" s="2" t="s">
        <v>361</v>
      </c>
      <c r="D159" s="3">
        <v>258</v>
      </c>
      <c r="E159" s="2">
        <v>10</v>
      </c>
      <c r="F159" s="3">
        <f>Tab_valori[[#This Row],[Costo a Notte (€)]]*Tab_valori[[#This Row],[Numero Notti]]</f>
        <v>2580</v>
      </c>
      <c r="G159" s="3">
        <f>Tab_valori[[#This Row],[Spesa totale per ogni utente ]]/Tab_valori[[#This Row],[Membri della Famiglia]]</f>
        <v>645</v>
      </c>
      <c r="H159" s="2" t="s">
        <v>142</v>
      </c>
      <c r="I159" s="4">
        <v>25639</v>
      </c>
      <c r="J159" s="2">
        <v>4</v>
      </c>
      <c r="K159" s="2">
        <v>2</v>
      </c>
      <c r="L159" s="2">
        <v>8</v>
      </c>
      <c r="M159" s="2" t="s">
        <v>16</v>
      </c>
      <c r="N159" s="2" t="s">
        <v>17</v>
      </c>
      <c r="O159" s="2" t="s">
        <v>16</v>
      </c>
      <c r="U159" t="str">
        <f>IF(AND(Tab_valori[[#This Row],[Valutazione]]=5,Tab_valori[[#This Row],[Valutazione sull''attenzione all''ambiente della città]]=10),Tab_valori[[#This Row],[Città Airbnb]],"-")</f>
        <v>-</v>
      </c>
    </row>
    <row r="160" spans="1:21" x14ac:dyDescent="0.2">
      <c r="A160" s="2">
        <v>2445</v>
      </c>
      <c r="B160" s="2" t="s">
        <v>362</v>
      </c>
      <c r="C160" s="2" t="s">
        <v>363</v>
      </c>
      <c r="D160" s="3">
        <v>169</v>
      </c>
      <c r="E160" s="2">
        <v>2</v>
      </c>
      <c r="F160" s="3">
        <f>Tab_valori[[#This Row],[Costo a Notte (€)]]*Tab_valori[[#This Row],[Numero Notti]]</f>
        <v>338</v>
      </c>
      <c r="G160" s="3">
        <f>Tab_valori[[#This Row],[Spesa totale per ogni utente ]]/Tab_valori[[#This Row],[Membri della Famiglia]]</f>
        <v>84.5</v>
      </c>
      <c r="H160" s="2" t="s">
        <v>246</v>
      </c>
      <c r="I160" s="4">
        <v>31301</v>
      </c>
      <c r="J160" s="2">
        <v>4</v>
      </c>
      <c r="K160" s="2">
        <v>2</v>
      </c>
      <c r="L160" s="2">
        <v>3</v>
      </c>
      <c r="M160" s="2" t="s">
        <v>16</v>
      </c>
      <c r="N160" s="2" t="s">
        <v>17</v>
      </c>
      <c r="O160" s="2" t="s">
        <v>17</v>
      </c>
      <c r="U160" t="str">
        <f>IF(AND(Tab_valori[[#This Row],[Valutazione]]=5,Tab_valori[[#This Row],[Valutazione sull''attenzione all''ambiente della città]]=10),Tab_valori[[#This Row],[Città Airbnb]],"-")</f>
        <v>-</v>
      </c>
    </row>
    <row r="161" spans="1:21" x14ac:dyDescent="0.2">
      <c r="A161" s="2">
        <v>5272</v>
      </c>
      <c r="B161" s="2" t="s">
        <v>364</v>
      </c>
      <c r="C161" s="2" t="s">
        <v>365</v>
      </c>
      <c r="D161" s="3">
        <v>296</v>
      </c>
      <c r="E161" s="2">
        <v>1</v>
      </c>
      <c r="F161" s="3">
        <f>Tab_valori[[#This Row],[Costo a Notte (€)]]*Tab_valori[[#This Row],[Numero Notti]]</f>
        <v>296</v>
      </c>
      <c r="G161" s="3">
        <f>Tab_valori[[#This Row],[Spesa totale per ogni utente ]]/Tab_valori[[#This Row],[Membri della Famiglia]]</f>
        <v>49.333333333333336</v>
      </c>
      <c r="H161" s="2" t="s">
        <v>34</v>
      </c>
      <c r="I161" s="4">
        <v>30854</v>
      </c>
      <c r="J161" s="2">
        <v>6</v>
      </c>
      <c r="K161" s="2">
        <v>1</v>
      </c>
      <c r="L161" s="2">
        <v>9</v>
      </c>
      <c r="M161" s="2" t="s">
        <v>17</v>
      </c>
      <c r="N161" s="2" t="s">
        <v>17</v>
      </c>
      <c r="O161" s="2" t="s">
        <v>16</v>
      </c>
      <c r="U161" t="str">
        <f>IF(AND(Tab_valori[[#This Row],[Valutazione]]=5,Tab_valori[[#This Row],[Valutazione sull''attenzione all''ambiente della città]]=10),Tab_valori[[#This Row],[Città Airbnb]],"-")</f>
        <v>-</v>
      </c>
    </row>
    <row r="162" spans="1:21" x14ac:dyDescent="0.2">
      <c r="A162" s="2">
        <v>2560</v>
      </c>
      <c r="B162" s="2" t="s">
        <v>366</v>
      </c>
      <c r="C162" s="2" t="s">
        <v>367</v>
      </c>
      <c r="D162" s="3">
        <v>125</v>
      </c>
      <c r="E162" s="2">
        <v>7</v>
      </c>
      <c r="F162" s="3">
        <f>Tab_valori[[#This Row],[Costo a Notte (€)]]*Tab_valori[[#This Row],[Numero Notti]]</f>
        <v>875</v>
      </c>
      <c r="G162" s="3">
        <f>Tab_valori[[#This Row],[Spesa totale per ogni utente ]]/Tab_valori[[#This Row],[Membri della Famiglia]]</f>
        <v>437.5</v>
      </c>
      <c r="H162" s="2" t="s">
        <v>45</v>
      </c>
      <c r="I162" s="4">
        <v>30929</v>
      </c>
      <c r="J162" s="2">
        <v>2</v>
      </c>
      <c r="K162" s="2">
        <v>5</v>
      </c>
      <c r="L162" s="2">
        <v>7</v>
      </c>
      <c r="M162" s="2" t="s">
        <v>16</v>
      </c>
      <c r="N162" s="2" t="s">
        <v>17</v>
      </c>
      <c r="O162" s="2" t="s">
        <v>17</v>
      </c>
      <c r="U162" t="str">
        <f>IF(AND(Tab_valori[[#This Row],[Valutazione]]=5,Tab_valori[[#This Row],[Valutazione sull''attenzione all''ambiente della città]]=10),Tab_valori[[#This Row],[Città Airbnb]],"-")</f>
        <v>-</v>
      </c>
    </row>
    <row r="163" spans="1:21" x14ac:dyDescent="0.2">
      <c r="A163" s="2">
        <v>4373</v>
      </c>
      <c r="B163" s="2" t="s">
        <v>368</v>
      </c>
      <c r="C163" s="2" t="s">
        <v>369</v>
      </c>
      <c r="D163" s="3">
        <v>125</v>
      </c>
      <c r="E163" s="2">
        <v>2</v>
      </c>
      <c r="F163" s="3">
        <f>Tab_valori[[#This Row],[Costo a Notte (€)]]*Tab_valori[[#This Row],[Numero Notti]]</f>
        <v>250</v>
      </c>
      <c r="G163" s="3">
        <f>Tab_valori[[#This Row],[Spesa totale per ogni utente ]]/Tab_valori[[#This Row],[Membri della Famiglia]]</f>
        <v>41.666666666666664</v>
      </c>
      <c r="H163" s="2" t="s">
        <v>130</v>
      </c>
      <c r="I163" s="4">
        <v>20623</v>
      </c>
      <c r="J163" s="2">
        <v>6</v>
      </c>
      <c r="K163" s="2">
        <v>1</v>
      </c>
      <c r="L163" s="2">
        <v>2</v>
      </c>
      <c r="M163" s="2" t="s">
        <v>17</v>
      </c>
      <c r="N163" s="2" t="s">
        <v>17</v>
      </c>
      <c r="O163" s="2" t="s">
        <v>17</v>
      </c>
      <c r="U163" t="str">
        <f>IF(AND(Tab_valori[[#This Row],[Valutazione]]=5,Tab_valori[[#This Row],[Valutazione sull''attenzione all''ambiente della città]]=10),Tab_valori[[#This Row],[Città Airbnb]],"-")</f>
        <v>-</v>
      </c>
    </row>
    <row r="164" spans="1:21" x14ac:dyDescent="0.2">
      <c r="A164" s="2">
        <v>4847</v>
      </c>
      <c r="B164" s="2" t="s">
        <v>370</v>
      </c>
      <c r="C164" s="2" t="s">
        <v>371</v>
      </c>
      <c r="D164" s="3">
        <v>118</v>
      </c>
      <c r="E164" s="2">
        <v>1</v>
      </c>
      <c r="F164" s="3">
        <f>Tab_valori[[#This Row],[Costo a Notte (€)]]*Tab_valori[[#This Row],[Numero Notti]]</f>
        <v>118</v>
      </c>
      <c r="G164" s="3">
        <f>Tab_valori[[#This Row],[Spesa totale per ogni utente ]]/Tab_valori[[#This Row],[Membri della Famiglia]]</f>
        <v>59</v>
      </c>
      <c r="H164" s="2" t="s">
        <v>23</v>
      </c>
      <c r="I164" s="4">
        <v>26599</v>
      </c>
      <c r="J164" s="2">
        <v>2</v>
      </c>
      <c r="K164" s="2">
        <v>1</v>
      </c>
      <c r="L164" s="2">
        <v>10</v>
      </c>
      <c r="M164" s="2" t="s">
        <v>16</v>
      </c>
      <c r="N164" s="2" t="s">
        <v>16</v>
      </c>
      <c r="O164" s="2" t="s">
        <v>17</v>
      </c>
      <c r="U164" t="str">
        <f>IF(AND(Tab_valori[[#This Row],[Valutazione]]=5,Tab_valori[[#This Row],[Valutazione sull''attenzione all''ambiente della città]]=10),Tab_valori[[#This Row],[Città Airbnb]],"-")</f>
        <v>-</v>
      </c>
    </row>
    <row r="165" spans="1:21" x14ac:dyDescent="0.2">
      <c r="A165" s="2">
        <v>5174</v>
      </c>
      <c r="B165" s="2" t="s">
        <v>372</v>
      </c>
      <c r="C165" s="2" t="s">
        <v>373</v>
      </c>
      <c r="D165" s="3">
        <v>166</v>
      </c>
      <c r="E165" s="2">
        <v>3</v>
      </c>
      <c r="F165" s="3">
        <f>Tab_valori[[#This Row],[Costo a Notte (€)]]*Tab_valori[[#This Row],[Numero Notti]]</f>
        <v>498</v>
      </c>
      <c r="G165" s="3">
        <f>Tab_valori[[#This Row],[Spesa totale per ogni utente ]]/Tab_valori[[#This Row],[Membri della Famiglia]]</f>
        <v>71.142857142857139</v>
      </c>
      <c r="H165" s="2" t="s">
        <v>70</v>
      </c>
      <c r="I165" s="4">
        <v>30960</v>
      </c>
      <c r="J165" s="2">
        <v>7</v>
      </c>
      <c r="K165" s="2">
        <v>5</v>
      </c>
      <c r="L165" s="2">
        <v>4</v>
      </c>
      <c r="M165" s="2" t="s">
        <v>16</v>
      </c>
      <c r="N165" s="2" t="s">
        <v>17</v>
      </c>
      <c r="O165" s="2" t="s">
        <v>17</v>
      </c>
      <c r="U165" t="str">
        <f>IF(AND(Tab_valori[[#This Row],[Valutazione]]=5,Tab_valori[[#This Row],[Valutazione sull''attenzione all''ambiente della città]]=10),Tab_valori[[#This Row],[Città Airbnb]],"-")</f>
        <v>-</v>
      </c>
    </row>
    <row r="166" spans="1:21" x14ac:dyDescent="0.2">
      <c r="A166" s="2">
        <v>4520</v>
      </c>
      <c r="B166" s="2" t="s">
        <v>374</v>
      </c>
      <c r="C166" s="2" t="s">
        <v>375</v>
      </c>
      <c r="D166" s="3">
        <v>35</v>
      </c>
      <c r="E166" s="2">
        <v>3</v>
      </c>
      <c r="F166" s="3">
        <f>Tab_valori[[#This Row],[Costo a Notte (€)]]*Tab_valori[[#This Row],[Numero Notti]]</f>
        <v>105</v>
      </c>
      <c r="G166" s="3">
        <f>Tab_valori[[#This Row],[Spesa totale per ogni utente ]]/Tab_valori[[#This Row],[Membri della Famiglia]]</f>
        <v>26.25</v>
      </c>
      <c r="H166" s="2" t="s">
        <v>15</v>
      </c>
      <c r="I166" s="4">
        <v>23186</v>
      </c>
      <c r="J166" s="2">
        <v>4</v>
      </c>
      <c r="K166" s="2">
        <v>1</v>
      </c>
      <c r="L166" s="2">
        <v>5</v>
      </c>
      <c r="M166" s="2" t="s">
        <v>17</v>
      </c>
      <c r="N166" s="2" t="s">
        <v>17</v>
      </c>
      <c r="O166" s="2" t="s">
        <v>17</v>
      </c>
      <c r="U166" t="str">
        <f>IF(AND(Tab_valori[[#This Row],[Valutazione]]=5,Tab_valori[[#This Row],[Valutazione sull''attenzione all''ambiente della città]]=10),Tab_valori[[#This Row],[Città Airbnb]],"-")</f>
        <v>-</v>
      </c>
    </row>
    <row r="167" spans="1:21" x14ac:dyDescent="0.2">
      <c r="A167" s="2">
        <v>5440</v>
      </c>
      <c r="B167" s="2" t="s">
        <v>376</v>
      </c>
      <c r="C167" s="2" t="s">
        <v>377</v>
      </c>
      <c r="D167" s="3">
        <v>92</v>
      </c>
      <c r="E167" s="2">
        <v>6</v>
      </c>
      <c r="F167" s="3">
        <f>Tab_valori[[#This Row],[Costo a Notte (€)]]*Tab_valori[[#This Row],[Numero Notti]]</f>
        <v>552</v>
      </c>
      <c r="G167" s="3">
        <f>Tab_valori[[#This Row],[Spesa totale per ogni utente ]]/Tab_valori[[#This Row],[Membri della Famiglia]]</f>
        <v>78.857142857142861</v>
      </c>
      <c r="H167" s="2" t="s">
        <v>53</v>
      </c>
      <c r="I167" s="4">
        <v>33285</v>
      </c>
      <c r="J167" s="2">
        <v>7</v>
      </c>
      <c r="K167" s="2">
        <v>5</v>
      </c>
      <c r="L167" s="2">
        <v>10</v>
      </c>
      <c r="M167" s="2" t="s">
        <v>16</v>
      </c>
      <c r="N167" s="2" t="s">
        <v>16</v>
      </c>
      <c r="O167" s="2" t="s">
        <v>17</v>
      </c>
      <c r="U167" t="str">
        <f>IF(AND(Tab_valori[[#This Row],[Valutazione]]=5,Tab_valori[[#This Row],[Valutazione sull''attenzione all''ambiente della città]]=10),Tab_valori[[#This Row],[Città Airbnb]],"-")</f>
        <v>Denpasar</v>
      </c>
    </row>
    <row r="168" spans="1:21" x14ac:dyDescent="0.2">
      <c r="A168" s="2">
        <v>2786</v>
      </c>
      <c r="B168" s="2" t="s">
        <v>378</v>
      </c>
      <c r="C168" s="2" t="s">
        <v>379</v>
      </c>
      <c r="D168" s="3">
        <v>236</v>
      </c>
      <c r="E168" s="2">
        <v>10</v>
      </c>
      <c r="F168" s="3">
        <f>Tab_valori[[#This Row],[Costo a Notte (€)]]*Tab_valori[[#This Row],[Numero Notti]]</f>
        <v>2360</v>
      </c>
      <c r="G168" s="3">
        <f>Tab_valori[[#This Row],[Spesa totale per ogni utente ]]/Tab_valori[[#This Row],[Membri della Famiglia]]</f>
        <v>393.33333333333331</v>
      </c>
      <c r="H168" s="2" t="s">
        <v>34</v>
      </c>
      <c r="I168" s="4">
        <v>26474</v>
      </c>
      <c r="J168" s="2">
        <v>6</v>
      </c>
      <c r="K168" s="2">
        <v>3</v>
      </c>
      <c r="L168" s="2">
        <v>3</v>
      </c>
      <c r="M168" s="2" t="s">
        <v>17</v>
      </c>
      <c r="N168" s="2" t="s">
        <v>16</v>
      </c>
      <c r="O168" s="2" t="s">
        <v>17</v>
      </c>
      <c r="U168" t="str">
        <f>IF(AND(Tab_valori[[#This Row],[Valutazione]]=5,Tab_valori[[#This Row],[Valutazione sull''attenzione all''ambiente della città]]=10),Tab_valori[[#This Row],[Città Airbnb]],"-")</f>
        <v>-</v>
      </c>
    </row>
    <row r="169" spans="1:21" x14ac:dyDescent="0.2">
      <c r="A169" s="2">
        <v>3986</v>
      </c>
      <c r="B169" s="2" t="s">
        <v>380</v>
      </c>
      <c r="C169" s="2" t="s">
        <v>381</v>
      </c>
      <c r="D169" s="3">
        <v>201</v>
      </c>
      <c r="E169" s="2">
        <v>10</v>
      </c>
      <c r="F169" s="3">
        <f>Tab_valori[[#This Row],[Costo a Notte (€)]]*Tab_valori[[#This Row],[Numero Notti]]</f>
        <v>2010</v>
      </c>
      <c r="G169" s="3">
        <f>Tab_valori[[#This Row],[Spesa totale per ogni utente ]]/Tab_valori[[#This Row],[Membri della Famiglia]]</f>
        <v>1005</v>
      </c>
      <c r="H169" s="2" t="s">
        <v>34</v>
      </c>
      <c r="I169" s="4">
        <v>22803</v>
      </c>
      <c r="J169" s="2">
        <v>2</v>
      </c>
      <c r="K169" s="2">
        <v>2</v>
      </c>
      <c r="L169" s="2">
        <v>5</v>
      </c>
      <c r="M169" s="2" t="s">
        <v>17</v>
      </c>
      <c r="N169" s="2" t="s">
        <v>17</v>
      </c>
      <c r="O169" s="2" t="s">
        <v>17</v>
      </c>
      <c r="U169" t="str">
        <f>IF(AND(Tab_valori[[#This Row],[Valutazione]]=5,Tab_valori[[#This Row],[Valutazione sull''attenzione all''ambiente della città]]=10),Tab_valori[[#This Row],[Città Airbnb]],"-")</f>
        <v>-</v>
      </c>
    </row>
    <row r="170" spans="1:21" x14ac:dyDescent="0.2">
      <c r="A170" s="2">
        <v>5065</v>
      </c>
      <c r="B170" s="2" t="s">
        <v>382</v>
      </c>
      <c r="C170" s="2" t="s">
        <v>383</v>
      </c>
      <c r="D170" s="3">
        <v>192</v>
      </c>
      <c r="E170" s="2">
        <v>9</v>
      </c>
      <c r="F170" s="3">
        <f>Tab_valori[[#This Row],[Costo a Notte (€)]]*Tab_valori[[#This Row],[Numero Notti]]</f>
        <v>1728</v>
      </c>
      <c r="G170" s="3">
        <f>Tab_valori[[#This Row],[Spesa totale per ogni utente ]]/Tab_valori[[#This Row],[Membri della Famiglia]]</f>
        <v>864</v>
      </c>
      <c r="H170" s="2" t="s">
        <v>40</v>
      </c>
      <c r="I170" s="4">
        <v>33602</v>
      </c>
      <c r="J170" s="2">
        <v>2</v>
      </c>
      <c r="K170" s="2">
        <v>5</v>
      </c>
      <c r="L170" s="2">
        <v>1</v>
      </c>
      <c r="M170" s="2" t="s">
        <v>16</v>
      </c>
      <c r="N170" s="2" t="s">
        <v>16</v>
      </c>
      <c r="O170" s="2" t="s">
        <v>16</v>
      </c>
      <c r="U170" t="str">
        <f>IF(AND(Tab_valori[[#This Row],[Valutazione]]=5,Tab_valori[[#This Row],[Valutazione sull''attenzione all''ambiente della città]]=10),Tab_valori[[#This Row],[Città Airbnb]],"-")</f>
        <v>-</v>
      </c>
    </row>
    <row r="171" spans="1:21" x14ac:dyDescent="0.2">
      <c r="A171" s="2">
        <v>3150</v>
      </c>
      <c r="B171" s="2" t="s">
        <v>384</v>
      </c>
      <c r="C171" s="2" t="s">
        <v>385</v>
      </c>
      <c r="D171" s="3">
        <v>51</v>
      </c>
      <c r="E171" s="2">
        <v>8</v>
      </c>
      <c r="F171" s="3">
        <f>Tab_valori[[#This Row],[Costo a Notte (€)]]*Tab_valori[[#This Row],[Numero Notti]]</f>
        <v>408</v>
      </c>
      <c r="G171" s="3">
        <f>Tab_valori[[#This Row],[Spesa totale per ogni utente ]]/Tab_valori[[#This Row],[Membri della Famiglia]]</f>
        <v>408</v>
      </c>
      <c r="H171" s="2" t="s">
        <v>70</v>
      </c>
      <c r="I171" s="4">
        <v>22688</v>
      </c>
      <c r="J171" s="2">
        <v>1</v>
      </c>
      <c r="K171" s="2">
        <v>4</v>
      </c>
      <c r="L171" s="2">
        <v>7</v>
      </c>
      <c r="M171" s="2" t="s">
        <v>17</v>
      </c>
      <c r="N171" s="2" t="s">
        <v>17</v>
      </c>
      <c r="O171" s="2" t="s">
        <v>17</v>
      </c>
      <c r="U171" t="str">
        <f>IF(AND(Tab_valori[[#This Row],[Valutazione]]=5,Tab_valori[[#This Row],[Valutazione sull''attenzione all''ambiente della città]]=10),Tab_valori[[#This Row],[Città Airbnb]],"-")</f>
        <v>-</v>
      </c>
    </row>
    <row r="172" spans="1:21" x14ac:dyDescent="0.2">
      <c r="A172" s="2">
        <v>5410</v>
      </c>
      <c r="B172" s="2" t="s">
        <v>386</v>
      </c>
      <c r="C172" s="2" t="s">
        <v>218</v>
      </c>
      <c r="D172" s="3">
        <v>233</v>
      </c>
      <c r="E172" s="2">
        <v>1</v>
      </c>
      <c r="F172" s="3">
        <f>Tab_valori[[#This Row],[Costo a Notte (€)]]*Tab_valori[[#This Row],[Numero Notti]]</f>
        <v>233</v>
      </c>
      <c r="G172" s="3">
        <f>Tab_valori[[#This Row],[Spesa totale per ogni utente ]]/Tab_valori[[#This Row],[Membri della Famiglia]]</f>
        <v>58.25</v>
      </c>
      <c r="H172" s="2" t="s">
        <v>29</v>
      </c>
      <c r="I172" s="4">
        <v>21801</v>
      </c>
      <c r="J172" s="2">
        <v>4</v>
      </c>
      <c r="K172" s="2">
        <v>4</v>
      </c>
      <c r="L172" s="2">
        <v>3</v>
      </c>
      <c r="M172" s="2" t="s">
        <v>17</v>
      </c>
      <c r="N172" s="2" t="s">
        <v>16</v>
      </c>
      <c r="O172" s="2" t="s">
        <v>16</v>
      </c>
      <c r="U172" t="str">
        <f>IF(AND(Tab_valori[[#This Row],[Valutazione]]=5,Tab_valori[[#This Row],[Valutazione sull''attenzione all''ambiente della città]]=10),Tab_valori[[#This Row],[Città Airbnb]],"-")</f>
        <v>-</v>
      </c>
    </row>
    <row r="173" spans="1:21" x14ac:dyDescent="0.2">
      <c r="A173" s="2">
        <v>4411</v>
      </c>
      <c r="B173" s="2" t="s">
        <v>387</v>
      </c>
      <c r="C173" s="2" t="s">
        <v>388</v>
      </c>
      <c r="D173" s="3">
        <v>107</v>
      </c>
      <c r="E173" s="2">
        <v>9</v>
      </c>
      <c r="F173" s="3">
        <f>Tab_valori[[#This Row],[Costo a Notte (€)]]*Tab_valori[[#This Row],[Numero Notti]]</f>
        <v>963</v>
      </c>
      <c r="G173" s="3">
        <f>Tab_valori[[#This Row],[Spesa totale per ogni utente ]]/Tab_valori[[#This Row],[Membri della Famiglia]]</f>
        <v>240.75</v>
      </c>
      <c r="H173" s="2" t="s">
        <v>246</v>
      </c>
      <c r="I173" s="4">
        <v>33158</v>
      </c>
      <c r="J173" s="2">
        <v>4</v>
      </c>
      <c r="K173" s="2">
        <v>1</v>
      </c>
      <c r="L173" s="2">
        <v>2</v>
      </c>
      <c r="M173" s="2" t="s">
        <v>16</v>
      </c>
      <c r="N173" s="2" t="s">
        <v>16</v>
      </c>
      <c r="O173" s="2" t="s">
        <v>17</v>
      </c>
      <c r="U173" t="str">
        <f>IF(AND(Tab_valori[[#This Row],[Valutazione]]=5,Tab_valori[[#This Row],[Valutazione sull''attenzione all''ambiente della città]]=10),Tab_valori[[#This Row],[Città Airbnb]],"-")</f>
        <v>-</v>
      </c>
    </row>
    <row r="174" spans="1:21" x14ac:dyDescent="0.2">
      <c r="A174" s="2">
        <v>4747</v>
      </c>
      <c r="B174" s="2" t="s">
        <v>389</v>
      </c>
      <c r="C174" s="2" t="s">
        <v>390</v>
      </c>
      <c r="D174" s="3">
        <v>96</v>
      </c>
      <c r="E174" s="2">
        <v>2</v>
      </c>
      <c r="F174" s="3">
        <f>Tab_valori[[#This Row],[Costo a Notte (€)]]*Tab_valori[[#This Row],[Numero Notti]]</f>
        <v>192</v>
      </c>
      <c r="G174" s="3">
        <f>Tab_valori[[#This Row],[Spesa totale per ogni utente ]]/Tab_valori[[#This Row],[Membri della Famiglia]]</f>
        <v>38.4</v>
      </c>
      <c r="H174" s="2" t="s">
        <v>15</v>
      </c>
      <c r="I174" s="4">
        <v>31615</v>
      </c>
      <c r="J174" s="2">
        <v>5</v>
      </c>
      <c r="K174" s="2">
        <v>5</v>
      </c>
      <c r="L174" s="2">
        <v>2</v>
      </c>
      <c r="M174" s="2" t="s">
        <v>16</v>
      </c>
      <c r="N174" s="2" t="s">
        <v>17</v>
      </c>
      <c r="O174" s="2" t="s">
        <v>17</v>
      </c>
      <c r="U174" t="str">
        <f>IF(AND(Tab_valori[[#This Row],[Valutazione]]=5,Tab_valori[[#This Row],[Valutazione sull''attenzione all''ambiente della città]]=10),Tab_valori[[#This Row],[Città Airbnb]],"-")</f>
        <v>-</v>
      </c>
    </row>
    <row r="175" spans="1:21" x14ac:dyDescent="0.2">
      <c r="A175" s="2">
        <v>5186</v>
      </c>
      <c r="B175" s="2" t="s">
        <v>391</v>
      </c>
      <c r="C175" s="2" t="s">
        <v>392</v>
      </c>
      <c r="D175" s="3">
        <v>190</v>
      </c>
      <c r="E175" s="2">
        <v>7</v>
      </c>
      <c r="F175" s="3">
        <f>Tab_valori[[#This Row],[Costo a Notte (€)]]*Tab_valori[[#This Row],[Numero Notti]]</f>
        <v>1330</v>
      </c>
      <c r="G175" s="3">
        <f>Tab_valori[[#This Row],[Spesa totale per ogni utente ]]/Tab_valori[[#This Row],[Membri della Famiglia]]</f>
        <v>266</v>
      </c>
      <c r="H175" s="2" t="s">
        <v>20</v>
      </c>
      <c r="I175" s="4">
        <v>28255</v>
      </c>
      <c r="J175" s="2">
        <v>5</v>
      </c>
      <c r="K175" s="2">
        <v>4</v>
      </c>
      <c r="L175" s="2">
        <v>4</v>
      </c>
      <c r="M175" s="2" t="s">
        <v>17</v>
      </c>
      <c r="N175" s="2" t="s">
        <v>16</v>
      </c>
      <c r="O175" s="2" t="s">
        <v>17</v>
      </c>
      <c r="U175" t="str">
        <f>IF(AND(Tab_valori[[#This Row],[Valutazione]]=5,Tab_valori[[#This Row],[Valutazione sull''attenzione all''ambiente della città]]=10),Tab_valori[[#This Row],[Città Airbnb]],"-")</f>
        <v>-</v>
      </c>
    </row>
    <row r="176" spans="1:21" x14ac:dyDescent="0.2">
      <c r="A176" s="2">
        <v>4270</v>
      </c>
      <c r="B176" s="2" t="s">
        <v>393</v>
      </c>
      <c r="C176" s="2" t="s">
        <v>394</v>
      </c>
      <c r="D176" s="3">
        <v>245</v>
      </c>
      <c r="E176" s="2">
        <v>3</v>
      </c>
      <c r="F176" s="3">
        <f>Tab_valori[[#This Row],[Costo a Notte (€)]]*Tab_valori[[#This Row],[Numero Notti]]</f>
        <v>735</v>
      </c>
      <c r="G176" s="3">
        <f>Tab_valori[[#This Row],[Spesa totale per ogni utente ]]/Tab_valori[[#This Row],[Membri della Famiglia]]</f>
        <v>735</v>
      </c>
      <c r="H176" s="2" t="s">
        <v>164</v>
      </c>
      <c r="I176" s="4">
        <v>28478</v>
      </c>
      <c r="J176" s="2">
        <v>1</v>
      </c>
      <c r="K176" s="2">
        <v>3</v>
      </c>
      <c r="L176" s="2">
        <v>6</v>
      </c>
      <c r="M176" s="2" t="s">
        <v>16</v>
      </c>
      <c r="N176" s="2" t="s">
        <v>17</v>
      </c>
      <c r="O176" s="2" t="s">
        <v>16</v>
      </c>
      <c r="U176" t="str">
        <f>IF(AND(Tab_valori[[#This Row],[Valutazione]]=5,Tab_valori[[#This Row],[Valutazione sull''attenzione all''ambiente della città]]=10),Tab_valori[[#This Row],[Città Airbnb]],"-")</f>
        <v>-</v>
      </c>
    </row>
    <row r="177" spans="1:21" x14ac:dyDescent="0.2">
      <c r="A177" s="2">
        <v>2531</v>
      </c>
      <c r="B177" s="2" t="s">
        <v>395</v>
      </c>
      <c r="C177" s="2" t="s">
        <v>396</v>
      </c>
      <c r="D177" s="3">
        <v>233</v>
      </c>
      <c r="E177" s="2">
        <v>9</v>
      </c>
      <c r="F177" s="3">
        <f>Tab_valori[[#This Row],[Costo a Notte (€)]]*Tab_valori[[#This Row],[Numero Notti]]</f>
        <v>2097</v>
      </c>
      <c r="G177" s="3">
        <f>Tab_valori[[#This Row],[Spesa totale per ogni utente ]]/Tab_valori[[#This Row],[Membri della Famiglia]]</f>
        <v>699</v>
      </c>
      <c r="H177" s="2" t="s">
        <v>189</v>
      </c>
      <c r="I177" s="4">
        <v>20114</v>
      </c>
      <c r="J177" s="2">
        <v>3</v>
      </c>
      <c r="K177" s="2">
        <v>3</v>
      </c>
      <c r="L177" s="2">
        <v>2</v>
      </c>
      <c r="M177" s="2" t="s">
        <v>16</v>
      </c>
      <c r="N177" s="2" t="s">
        <v>17</v>
      </c>
      <c r="O177" s="2" t="s">
        <v>17</v>
      </c>
      <c r="U177" t="str">
        <f>IF(AND(Tab_valori[[#This Row],[Valutazione]]=5,Tab_valori[[#This Row],[Valutazione sull''attenzione all''ambiente della città]]=10),Tab_valori[[#This Row],[Città Airbnb]],"-")</f>
        <v>-</v>
      </c>
    </row>
    <row r="178" spans="1:21" x14ac:dyDescent="0.2">
      <c r="A178" s="2">
        <v>2440</v>
      </c>
      <c r="B178" s="2" t="s">
        <v>397</v>
      </c>
      <c r="C178" s="2" t="s">
        <v>398</v>
      </c>
      <c r="D178" s="3">
        <v>279</v>
      </c>
      <c r="E178" s="2">
        <v>5</v>
      </c>
      <c r="F178" s="3">
        <f>Tab_valori[[#This Row],[Costo a Notte (€)]]*Tab_valori[[#This Row],[Numero Notti]]</f>
        <v>1395</v>
      </c>
      <c r="G178" s="3">
        <f>Tab_valori[[#This Row],[Spesa totale per ogni utente ]]/Tab_valori[[#This Row],[Membri della Famiglia]]</f>
        <v>348.75</v>
      </c>
      <c r="H178" s="2" t="s">
        <v>29</v>
      </c>
      <c r="I178" s="4">
        <v>27118</v>
      </c>
      <c r="J178" s="2">
        <v>4</v>
      </c>
      <c r="K178" s="2">
        <v>2</v>
      </c>
      <c r="L178" s="2">
        <v>2</v>
      </c>
      <c r="M178" s="2" t="s">
        <v>16</v>
      </c>
      <c r="N178" s="2" t="s">
        <v>16</v>
      </c>
      <c r="O178" s="2" t="s">
        <v>16</v>
      </c>
      <c r="U178" t="str">
        <f>IF(AND(Tab_valori[[#This Row],[Valutazione]]=5,Tab_valori[[#This Row],[Valutazione sull''attenzione all''ambiente della città]]=10),Tab_valori[[#This Row],[Città Airbnb]],"-")</f>
        <v>-</v>
      </c>
    </row>
    <row r="179" spans="1:21" x14ac:dyDescent="0.2">
      <c r="A179" s="2">
        <v>4761</v>
      </c>
      <c r="B179" s="2" t="s">
        <v>399</v>
      </c>
      <c r="C179" s="2" t="s">
        <v>400</v>
      </c>
      <c r="D179" s="3">
        <v>252</v>
      </c>
      <c r="E179" s="2">
        <v>9</v>
      </c>
      <c r="F179" s="3">
        <f>Tab_valori[[#This Row],[Costo a Notte (€)]]*Tab_valori[[#This Row],[Numero Notti]]</f>
        <v>2268</v>
      </c>
      <c r="G179" s="3">
        <f>Tab_valori[[#This Row],[Spesa totale per ogni utente ]]/Tab_valori[[#This Row],[Membri della Famiglia]]</f>
        <v>756</v>
      </c>
      <c r="H179" s="2" t="s">
        <v>109</v>
      </c>
      <c r="I179" s="4">
        <v>26695</v>
      </c>
      <c r="J179" s="2">
        <v>3</v>
      </c>
      <c r="K179" s="2">
        <v>1</v>
      </c>
      <c r="L179" s="2">
        <v>8</v>
      </c>
      <c r="M179" s="2" t="s">
        <v>17</v>
      </c>
      <c r="N179" s="2" t="s">
        <v>17</v>
      </c>
      <c r="O179" s="2" t="s">
        <v>17</v>
      </c>
      <c r="U179" t="str">
        <f>IF(AND(Tab_valori[[#This Row],[Valutazione]]=5,Tab_valori[[#This Row],[Valutazione sull''attenzione all''ambiente della città]]=10),Tab_valori[[#This Row],[Città Airbnb]],"-")</f>
        <v>-</v>
      </c>
    </row>
    <row r="180" spans="1:21" x14ac:dyDescent="0.2">
      <c r="A180" s="2">
        <v>5491</v>
      </c>
      <c r="B180" s="2" t="s">
        <v>401</v>
      </c>
      <c r="C180" s="2" t="s">
        <v>402</v>
      </c>
      <c r="D180" s="3">
        <v>281</v>
      </c>
      <c r="E180" s="2">
        <v>2</v>
      </c>
      <c r="F180" s="3">
        <f>Tab_valori[[#This Row],[Costo a Notte (€)]]*Tab_valori[[#This Row],[Numero Notti]]</f>
        <v>562</v>
      </c>
      <c r="G180" s="3">
        <f>Tab_valori[[#This Row],[Spesa totale per ogni utente ]]/Tab_valori[[#This Row],[Membri della Famiglia]]</f>
        <v>281</v>
      </c>
      <c r="H180" s="2" t="s">
        <v>67</v>
      </c>
      <c r="I180" s="4">
        <v>31244</v>
      </c>
      <c r="J180" s="2">
        <v>2</v>
      </c>
      <c r="K180" s="2">
        <v>2</v>
      </c>
      <c r="L180" s="2">
        <v>5</v>
      </c>
      <c r="M180" s="2" t="s">
        <v>16</v>
      </c>
      <c r="N180" s="2" t="s">
        <v>17</v>
      </c>
      <c r="O180" s="2" t="s">
        <v>17</v>
      </c>
      <c r="U180" t="str">
        <f>IF(AND(Tab_valori[[#This Row],[Valutazione]]=5,Tab_valori[[#This Row],[Valutazione sull''attenzione all''ambiente della città]]=10),Tab_valori[[#This Row],[Città Airbnb]],"-")</f>
        <v>-</v>
      </c>
    </row>
    <row r="181" spans="1:21" x14ac:dyDescent="0.2">
      <c r="A181" s="2">
        <v>5171</v>
      </c>
      <c r="B181" s="2" t="s">
        <v>403</v>
      </c>
      <c r="C181" s="2" t="s">
        <v>404</v>
      </c>
      <c r="D181" s="3">
        <v>97</v>
      </c>
      <c r="E181" s="2">
        <v>2</v>
      </c>
      <c r="F181" s="3">
        <f>Tab_valori[[#This Row],[Costo a Notte (€)]]*Tab_valori[[#This Row],[Numero Notti]]</f>
        <v>194</v>
      </c>
      <c r="G181" s="3">
        <f>Tab_valori[[#This Row],[Spesa totale per ogni utente ]]/Tab_valori[[#This Row],[Membri della Famiglia]]</f>
        <v>48.5</v>
      </c>
      <c r="H181" s="2" t="s">
        <v>246</v>
      </c>
      <c r="I181" s="4">
        <v>33243</v>
      </c>
      <c r="J181" s="2">
        <v>4</v>
      </c>
      <c r="K181" s="2">
        <v>3</v>
      </c>
      <c r="L181" s="2">
        <v>4</v>
      </c>
      <c r="M181" s="2" t="s">
        <v>16</v>
      </c>
      <c r="N181" s="2" t="s">
        <v>16</v>
      </c>
      <c r="O181" s="2" t="s">
        <v>17</v>
      </c>
      <c r="U181" t="str">
        <f>IF(AND(Tab_valori[[#This Row],[Valutazione]]=5,Tab_valori[[#This Row],[Valutazione sull''attenzione all''ambiente della città]]=10),Tab_valori[[#This Row],[Città Airbnb]],"-")</f>
        <v>-</v>
      </c>
    </row>
    <row r="182" spans="1:21" x14ac:dyDescent="0.2">
      <c r="A182" s="2">
        <v>4990</v>
      </c>
      <c r="B182" s="2" t="s">
        <v>405</v>
      </c>
      <c r="C182" s="2" t="s">
        <v>406</v>
      </c>
      <c r="D182" s="3">
        <v>81</v>
      </c>
      <c r="E182" s="2">
        <v>6</v>
      </c>
      <c r="F182" s="3">
        <f>Tab_valori[[#This Row],[Costo a Notte (€)]]*Tab_valori[[#This Row],[Numero Notti]]</f>
        <v>486</v>
      </c>
      <c r="G182" s="3">
        <f>Tab_valori[[#This Row],[Spesa totale per ogni utente ]]/Tab_valori[[#This Row],[Membri della Famiglia]]</f>
        <v>69.428571428571431</v>
      </c>
      <c r="H182" s="2" t="s">
        <v>142</v>
      </c>
      <c r="I182" s="4">
        <v>28147</v>
      </c>
      <c r="J182" s="2">
        <v>7</v>
      </c>
      <c r="K182" s="2">
        <v>3</v>
      </c>
      <c r="L182" s="2">
        <v>7</v>
      </c>
      <c r="M182" s="2" t="s">
        <v>17</v>
      </c>
      <c r="N182" s="2" t="s">
        <v>16</v>
      </c>
      <c r="O182" s="2" t="s">
        <v>16</v>
      </c>
      <c r="U182" t="str">
        <f>IF(AND(Tab_valori[[#This Row],[Valutazione]]=5,Tab_valori[[#This Row],[Valutazione sull''attenzione all''ambiente della città]]=10),Tab_valori[[#This Row],[Città Airbnb]],"-")</f>
        <v>-</v>
      </c>
    </row>
    <row r="183" spans="1:21" x14ac:dyDescent="0.2">
      <c r="A183" s="2">
        <v>4501</v>
      </c>
      <c r="B183" s="2" t="s">
        <v>407</v>
      </c>
      <c r="C183" s="2" t="s">
        <v>408</v>
      </c>
      <c r="D183" s="3">
        <v>147</v>
      </c>
      <c r="E183" s="2">
        <v>8</v>
      </c>
      <c r="F183" s="3">
        <f>Tab_valori[[#This Row],[Costo a Notte (€)]]*Tab_valori[[#This Row],[Numero Notti]]</f>
        <v>1176</v>
      </c>
      <c r="G183" s="3">
        <f>Tab_valori[[#This Row],[Spesa totale per ogni utente ]]/Tab_valori[[#This Row],[Membri della Famiglia]]</f>
        <v>1176</v>
      </c>
      <c r="H183" s="2" t="s">
        <v>76</v>
      </c>
      <c r="I183" s="4">
        <v>23956</v>
      </c>
      <c r="J183" s="2">
        <v>1</v>
      </c>
      <c r="K183" s="2">
        <v>3</v>
      </c>
      <c r="L183" s="2">
        <v>4</v>
      </c>
      <c r="M183" s="2" t="s">
        <v>16</v>
      </c>
      <c r="N183" s="2" t="s">
        <v>17</v>
      </c>
      <c r="O183" s="2" t="s">
        <v>17</v>
      </c>
      <c r="U183" t="str">
        <f>IF(AND(Tab_valori[[#This Row],[Valutazione]]=5,Tab_valori[[#This Row],[Valutazione sull''attenzione all''ambiente della città]]=10),Tab_valori[[#This Row],[Città Airbnb]],"-")</f>
        <v>-</v>
      </c>
    </row>
    <row r="184" spans="1:21" x14ac:dyDescent="0.2">
      <c r="A184" s="2">
        <v>4150</v>
      </c>
      <c r="B184" s="2" t="s">
        <v>409</v>
      </c>
      <c r="C184" s="2" t="s">
        <v>410</v>
      </c>
      <c r="D184" s="3">
        <v>182</v>
      </c>
      <c r="E184" s="2">
        <v>9</v>
      </c>
      <c r="F184" s="3">
        <f>Tab_valori[[#This Row],[Costo a Notte (€)]]*Tab_valori[[#This Row],[Numero Notti]]</f>
        <v>1638</v>
      </c>
      <c r="G184" s="3">
        <f>Tab_valori[[#This Row],[Spesa totale per ogni utente ]]/Tab_valori[[#This Row],[Membri della Famiglia]]</f>
        <v>273</v>
      </c>
      <c r="H184" s="2" t="s">
        <v>48</v>
      </c>
      <c r="I184" s="4">
        <v>33355</v>
      </c>
      <c r="J184" s="2">
        <v>6</v>
      </c>
      <c r="K184" s="2">
        <v>2</v>
      </c>
      <c r="L184" s="2">
        <v>7</v>
      </c>
      <c r="M184" s="2" t="s">
        <v>17</v>
      </c>
      <c r="N184" s="2" t="s">
        <v>16</v>
      </c>
      <c r="O184" s="2" t="s">
        <v>17</v>
      </c>
      <c r="U184" t="str">
        <f>IF(AND(Tab_valori[[#This Row],[Valutazione]]=5,Tab_valori[[#This Row],[Valutazione sull''attenzione all''ambiente della città]]=10),Tab_valori[[#This Row],[Città Airbnb]],"-")</f>
        <v>-</v>
      </c>
    </row>
    <row r="185" spans="1:21" x14ac:dyDescent="0.2">
      <c r="A185" s="2">
        <v>4230</v>
      </c>
      <c r="B185" s="2" t="s">
        <v>411</v>
      </c>
      <c r="C185" s="2" t="s">
        <v>412</v>
      </c>
      <c r="D185" s="3">
        <v>152</v>
      </c>
      <c r="E185" s="2">
        <v>2</v>
      </c>
      <c r="F185" s="3">
        <f>Tab_valori[[#This Row],[Costo a Notte (€)]]*Tab_valori[[#This Row],[Numero Notti]]</f>
        <v>304</v>
      </c>
      <c r="G185" s="3">
        <f>Tab_valori[[#This Row],[Spesa totale per ogni utente ]]/Tab_valori[[#This Row],[Membri della Famiglia]]</f>
        <v>76</v>
      </c>
      <c r="H185" s="2" t="s">
        <v>147</v>
      </c>
      <c r="I185" s="4">
        <v>31471</v>
      </c>
      <c r="J185" s="2">
        <v>4</v>
      </c>
      <c r="K185" s="2">
        <v>1</v>
      </c>
      <c r="L185" s="2">
        <v>3</v>
      </c>
      <c r="M185" s="2" t="s">
        <v>17</v>
      </c>
      <c r="N185" s="2" t="s">
        <v>16</v>
      </c>
      <c r="O185" s="2" t="s">
        <v>17</v>
      </c>
      <c r="U185" t="str">
        <f>IF(AND(Tab_valori[[#This Row],[Valutazione]]=5,Tab_valori[[#This Row],[Valutazione sull''attenzione all''ambiente della città]]=10),Tab_valori[[#This Row],[Città Airbnb]],"-")</f>
        <v>-</v>
      </c>
    </row>
    <row r="186" spans="1:21" x14ac:dyDescent="0.2">
      <c r="A186" s="2">
        <v>2611</v>
      </c>
      <c r="B186" s="2" t="s">
        <v>413</v>
      </c>
      <c r="C186" s="2" t="s">
        <v>414</v>
      </c>
      <c r="D186" s="3">
        <v>75</v>
      </c>
      <c r="E186" s="2">
        <v>9</v>
      </c>
      <c r="F186" s="3">
        <f>Tab_valori[[#This Row],[Costo a Notte (€)]]*Tab_valori[[#This Row],[Numero Notti]]</f>
        <v>675</v>
      </c>
      <c r="G186" s="3">
        <f>Tab_valori[[#This Row],[Spesa totale per ogni utente ]]/Tab_valori[[#This Row],[Membri della Famiglia]]</f>
        <v>675</v>
      </c>
      <c r="H186" s="2" t="s">
        <v>40</v>
      </c>
      <c r="I186" s="4">
        <v>29420</v>
      </c>
      <c r="J186" s="2">
        <v>1</v>
      </c>
      <c r="K186" s="2">
        <v>4</v>
      </c>
      <c r="L186" s="2">
        <v>6</v>
      </c>
      <c r="M186" s="2" t="s">
        <v>17</v>
      </c>
      <c r="N186" s="2" t="s">
        <v>16</v>
      </c>
      <c r="O186" s="2" t="s">
        <v>17</v>
      </c>
      <c r="U186" t="str">
        <f>IF(AND(Tab_valori[[#This Row],[Valutazione]]=5,Tab_valori[[#This Row],[Valutazione sull''attenzione all''ambiente della città]]=10),Tab_valori[[#This Row],[Città Airbnb]],"-")</f>
        <v>-</v>
      </c>
    </row>
    <row r="187" spans="1:21" x14ac:dyDescent="0.2">
      <c r="A187" s="2">
        <v>2332</v>
      </c>
      <c r="B187" s="2" t="s">
        <v>415</v>
      </c>
      <c r="C187" s="2" t="s">
        <v>416</v>
      </c>
      <c r="D187" s="3">
        <v>35</v>
      </c>
      <c r="E187" s="2">
        <v>5</v>
      </c>
      <c r="F187" s="3">
        <f>Tab_valori[[#This Row],[Costo a Notte (€)]]*Tab_valori[[#This Row],[Numero Notti]]</f>
        <v>175</v>
      </c>
      <c r="G187" s="3">
        <f>Tab_valori[[#This Row],[Spesa totale per ogni utente ]]/Tab_valori[[#This Row],[Membri della Famiglia]]</f>
        <v>43.75</v>
      </c>
      <c r="H187" s="2" t="s">
        <v>147</v>
      </c>
      <c r="I187" s="4">
        <v>34105</v>
      </c>
      <c r="J187" s="2">
        <v>4</v>
      </c>
      <c r="K187" s="2">
        <v>3</v>
      </c>
      <c r="L187" s="2">
        <v>4</v>
      </c>
      <c r="M187" s="2" t="s">
        <v>17</v>
      </c>
      <c r="N187" s="2" t="s">
        <v>17</v>
      </c>
      <c r="O187" s="2" t="s">
        <v>17</v>
      </c>
      <c r="U187" t="str">
        <f>IF(AND(Tab_valori[[#This Row],[Valutazione]]=5,Tab_valori[[#This Row],[Valutazione sull''attenzione all''ambiente della città]]=10),Tab_valori[[#This Row],[Città Airbnb]],"-")</f>
        <v>-</v>
      </c>
    </row>
    <row r="188" spans="1:21" x14ac:dyDescent="0.2">
      <c r="A188" s="2">
        <v>3884</v>
      </c>
      <c r="B188" s="2" t="s">
        <v>417</v>
      </c>
      <c r="C188" s="2" t="s">
        <v>418</v>
      </c>
      <c r="D188" s="3">
        <v>144</v>
      </c>
      <c r="E188" s="2">
        <v>7</v>
      </c>
      <c r="F188" s="3">
        <f>Tab_valori[[#This Row],[Costo a Notte (€)]]*Tab_valori[[#This Row],[Numero Notti]]</f>
        <v>1008</v>
      </c>
      <c r="G188" s="3">
        <f>Tab_valori[[#This Row],[Spesa totale per ogni utente ]]/Tab_valori[[#This Row],[Membri della Famiglia]]</f>
        <v>336</v>
      </c>
      <c r="H188" s="2" t="s">
        <v>82</v>
      </c>
      <c r="I188" s="4">
        <v>27447</v>
      </c>
      <c r="J188" s="2">
        <v>3</v>
      </c>
      <c r="K188" s="2">
        <v>1</v>
      </c>
      <c r="L188" s="2">
        <v>5</v>
      </c>
      <c r="M188" s="2" t="s">
        <v>17</v>
      </c>
      <c r="N188" s="2" t="s">
        <v>16</v>
      </c>
      <c r="O188" s="2" t="s">
        <v>17</v>
      </c>
      <c r="U188" t="str">
        <f>IF(AND(Tab_valori[[#This Row],[Valutazione]]=5,Tab_valori[[#This Row],[Valutazione sull''attenzione all''ambiente della città]]=10),Tab_valori[[#This Row],[Città Airbnb]],"-")</f>
        <v>-</v>
      </c>
    </row>
    <row r="189" spans="1:21" x14ac:dyDescent="0.2">
      <c r="A189" s="2">
        <v>4176</v>
      </c>
      <c r="B189" s="2" t="s">
        <v>419</v>
      </c>
      <c r="C189" s="2" t="s">
        <v>420</v>
      </c>
      <c r="D189" s="3">
        <v>297</v>
      </c>
      <c r="E189" s="2">
        <v>2</v>
      </c>
      <c r="F189" s="3">
        <f>Tab_valori[[#This Row],[Costo a Notte (€)]]*Tab_valori[[#This Row],[Numero Notti]]</f>
        <v>594</v>
      </c>
      <c r="G189" s="3">
        <f>Tab_valori[[#This Row],[Spesa totale per ogni utente ]]/Tab_valori[[#This Row],[Membri della Famiglia]]</f>
        <v>99</v>
      </c>
      <c r="H189" s="2" t="s">
        <v>58</v>
      </c>
      <c r="I189" s="4">
        <v>25298</v>
      </c>
      <c r="J189" s="2">
        <v>6</v>
      </c>
      <c r="K189" s="2">
        <v>4</v>
      </c>
      <c r="L189" s="2">
        <v>1</v>
      </c>
      <c r="M189" s="2" t="s">
        <v>17</v>
      </c>
      <c r="N189" s="2" t="s">
        <v>16</v>
      </c>
      <c r="O189" s="2" t="s">
        <v>17</v>
      </c>
      <c r="U189" t="str">
        <f>IF(AND(Tab_valori[[#This Row],[Valutazione]]=5,Tab_valori[[#This Row],[Valutazione sull''attenzione all''ambiente della città]]=10),Tab_valori[[#This Row],[Città Airbnb]],"-")</f>
        <v>-</v>
      </c>
    </row>
    <row r="190" spans="1:21" x14ac:dyDescent="0.2">
      <c r="A190" s="2">
        <v>4635</v>
      </c>
      <c r="B190" s="2" t="s">
        <v>421</v>
      </c>
      <c r="C190" s="2" t="s">
        <v>422</v>
      </c>
      <c r="D190" s="3">
        <v>80</v>
      </c>
      <c r="E190" s="2">
        <v>2</v>
      </c>
      <c r="F190" s="3">
        <f>Tab_valori[[#This Row],[Costo a Notte (€)]]*Tab_valori[[#This Row],[Numero Notti]]</f>
        <v>160</v>
      </c>
      <c r="G190" s="3">
        <f>Tab_valori[[#This Row],[Spesa totale per ogni utente ]]/Tab_valori[[#This Row],[Membri della Famiglia]]</f>
        <v>26.666666666666668</v>
      </c>
      <c r="H190" s="2" t="s">
        <v>67</v>
      </c>
      <c r="I190" s="4">
        <v>25011</v>
      </c>
      <c r="J190" s="2">
        <v>6</v>
      </c>
      <c r="K190" s="2">
        <v>3</v>
      </c>
      <c r="L190" s="2">
        <v>6</v>
      </c>
      <c r="M190" s="2" t="s">
        <v>17</v>
      </c>
      <c r="N190" s="2" t="s">
        <v>17</v>
      </c>
      <c r="O190" s="2" t="s">
        <v>16</v>
      </c>
      <c r="U190" t="str">
        <f>IF(AND(Tab_valori[[#This Row],[Valutazione]]=5,Tab_valori[[#This Row],[Valutazione sull''attenzione all''ambiente della città]]=10),Tab_valori[[#This Row],[Città Airbnb]],"-")</f>
        <v>-</v>
      </c>
    </row>
    <row r="191" spans="1:21" x14ac:dyDescent="0.2">
      <c r="A191" s="2">
        <v>3614</v>
      </c>
      <c r="B191" s="2" t="s">
        <v>423</v>
      </c>
      <c r="C191" s="2" t="s">
        <v>424</v>
      </c>
      <c r="D191" s="3">
        <v>62</v>
      </c>
      <c r="E191" s="2">
        <v>1</v>
      </c>
      <c r="F191" s="3">
        <f>Tab_valori[[#This Row],[Costo a Notte (€)]]*Tab_valori[[#This Row],[Numero Notti]]</f>
        <v>62</v>
      </c>
      <c r="G191" s="3">
        <f>Tab_valori[[#This Row],[Spesa totale per ogni utente ]]/Tab_valori[[#This Row],[Membri della Famiglia]]</f>
        <v>8.8571428571428577</v>
      </c>
      <c r="H191" s="2" t="s">
        <v>189</v>
      </c>
      <c r="I191" s="4">
        <v>26451</v>
      </c>
      <c r="J191" s="2">
        <v>7</v>
      </c>
      <c r="K191" s="2">
        <v>5</v>
      </c>
      <c r="L191" s="2">
        <v>2</v>
      </c>
      <c r="M191" s="2" t="s">
        <v>17</v>
      </c>
      <c r="N191" s="2" t="s">
        <v>16</v>
      </c>
      <c r="O191" s="2" t="s">
        <v>16</v>
      </c>
      <c r="U191" t="str">
        <f>IF(AND(Tab_valori[[#This Row],[Valutazione]]=5,Tab_valori[[#This Row],[Valutazione sull''attenzione all''ambiente della città]]=10),Tab_valori[[#This Row],[Città Airbnb]],"-")</f>
        <v>-</v>
      </c>
    </row>
    <row r="192" spans="1:21" x14ac:dyDescent="0.2">
      <c r="A192" s="2">
        <v>3610</v>
      </c>
      <c r="B192" s="2" t="s">
        <v>425</v>
      </c>
      <c r="C192" s="2" t="s">
        <v>426</v>
      </c>
      <c r="D192" s="3">
        <v>87</v>
      </c>
      <c r="E192" s="2">
        <v>9</v>
      </c>
      <c r="F192" s="3">
        <f>Tab_valori[[#This Row],[Costo a Notte (€)]]*Tab_valori[[#This Row],[Numero Notti]]</f>
        <v>783</v>
      </c>
      <c r="G192" s="3">
        <f>Tab_valori[[#This Row],[Spesa totale per ogni utente ]]/Tab_valori[[#This Row],[Membri della Famiglia]]</f>
        <v>156.6</v>
      </c>
      <c r="H192" s="2" t="s">
        <v>82</v>
      </c>
      <c r="I192" s="4">
        <v>30463</v>
      </c>
      <c r="J192" s="2">
        <v>5</v>
      </c>
      <c r="K192" s="2">
        <v>3</v>
      </c>
      <c r="L192" s="2">
        <v>5</v>
      </c>
      <c r="M192" s="2" t="s">
        <v>16</v>
      </c>
      <c r="N192" s="2" t="s">
        <v>17</v>
      </c>
      <c r="O192" s="2" t="s">
        <v>16</v>
      </c>
      <c r="U192" t="str">
        <f>IF(AND(Tab_valori[[#This Row],[Valutazione]]=5,Tab_valori[[#This Row],[Valutazione sull''attenzione all''ambiente della città]]=10),Tab_valori[[#This Row],[Città Airbnb]],"-")</f>
        <v>-</v>
      </c>
    </row>
    <row r="193" spans="1:21" x14ac:dyDescent="0.2">
      <c r="A193" s="2">
        <v>3116</v>
      </c>
      <c r="B193" s="2" t="s">
        <v>427</v>
      </c>
      <c r="C193" s="2" t="s">
        <v>428</v>
      </c>
      <c r="D193" s="3">
        <v>20</v>
      </c>
      <c r="E193" s="2">
        <v>5</v>
      </c>
      <c r="F193" s="3">
        <f>Tab_valori[[#This Row],[Costo a Notte (€)]]*Tab_valori[[#This Row],[Numero Notti]]</f>
        <v>100</v>
      </c>
      <c r="G193" s="3">
        <f>Tab_valori[[#This Row],[Spesa totale per ogni utente ]]/Tab_valori[[#This Row],[Membri della Famiglia]]</f>
        <v>25</v>
      </c>
      <c r="H193" s="2" t="s">
        <v>124</v>
      </c>
      <c r="I193" s="4">
        <v>27124</v>
      </c>
      <c r="J193" s="2">
        <v>4</v>
      </c>
      <c r="K193" s="2">
        <v>3</v>
      </c>
      <c r="L193" s="2">
        <v>10</v>
      </c>
      <c r="M193" s="2" t="s">
        <v>17</v>
      </c>
      <c r="N193" s="2" t="s">
        <v>17</v>
      </c>
      <c r="O193" s="2" t="s">
        <v>16</v>
      </c>
      <c r="U193" t="str">
        <f>IF(AND(Tab_valori[[#This Row],[Valutazione]]=5,Tab_valori[[#This Row],[Valutazione sull''attenzione all''ambiente della città]]=10),Tab_valori[[#This Row],[Città Airbnb]],"-")</f>
        <v>-</v>
      </c>
    </row>
    <row r="194" spans="1:21" x14ac:dyDescent="0.2">
      <c r="A194" s="2">
        <v>3585</v>
      </c>
      <c r="B194" s="2" t="s">
        <v>429</v>
      </c>
      <c r="C194" s="2" t="s">
        <v>430</v>
      </c>
      <c r="D194" s="3">
        <v>103</v>
      </c>
      <c r="E194" s="2">
        <v>4</v>
      </c>
      <c r="F194" s="3">
        <f>Tab_valori[[#This Row],[Costo a Notte (€)]]*Tab_valori[[#This Row],[Numero Notti]]</f>
        <v>412</v>
      </c>
      <c r="G194" s="3">
        <f>Tab_valori[[#This Row],[Spesa totale per ogni utente ]]/Tab_valori[[#This Row],[Membri della Famiglia]]</f>
        <v>206</v>
      </c>
      <c r="H194" s="2" t="s">
        <v>23</v>
      </c>
      <c r="I194" s="4">
        <v>24477</v>
      </c>
      <c r="J194" s="2">
        <v>2</v>
      </c>
      <c r="K194" s="2">
        <v>5</v>
      </c>
      <c r="L194" s="2">
        <v>7</v>
      </c>
      <c r="M194" s="2" t="s">
        <v>16</v>
      </c>
      <c r="N194" s="2" t="s">
        <v>17</v>
      </c>
      <c r="O194" s="2" t="s">
        <v>17</v>
      </c>
      <c r="U194" t="str">
        <f>IF(AND(Tab_valori[[#This Row],[Valutazione]]=5,Tab_valori[[#This Row],[Valutazione sull''attenzione all''ambiente della città]]=10),Tab_valori[[#This Row],[Città Airbnb]],"-")</f>
        <v>-</v>
      </c>
    </row>
    <row r="195" spans="1:21" x14ac:dyDescent="0.2">
      <c r="A195" s="2">
        <v>3535</v>
      </c>
      <c r="B195" s="2" t="s">
        <v>431</v>
      </c>
      <c r="C195" s="2" t="s">
        <v>432</v>
      </c>
      <c r="D195" s="3">
        <v>279</v>
      </c>
      <c r="E195" s="2">
        <v>8</v>
      </c>
      <c r="F195" s="3">
        <f>Tab_valori[[#This Row],[Costo a Notte (€)]]*Tab_valori[[#This Row],[Numero Notti]]</f>
        <v>2232</v>
      </c>
      <c r="G195" s="3">
        <f>Tab_valori[[#This Row],[Spesa totale per ogni utente ]]/Tab_valori[[#This Row],[Membri della Famiglia]]</f>
        <v>446.4</v>
      </c>
      <c r="H195" s="2" t="s">
        <v>184</v>
      </c>
      <c r="I195" s="4">
        <v>23086</v>
      </c>
      <c r="J195" s="2">
        <v>5</v>
      </c>
      <c r="K195" s="2">
        <v>2</v>
      </c>
      <c r="L195" s="2">
        <v>3</v>
      </c>
      <c r="M195" s="2" t="s">
        <v>17</v>
      </c>
      <c r="N195" s="2" t="s">
        <v>17</v>
      </c>
      <c r="O195" s="2" t="s">
        <v>17</v>
      </c>
      <c r="U195" t="str">
        <f>IF(AND(Tab_valori[[#This Row],[Valutazione]]=5,Tab_valori[[#This Row],[Valutazione sull''attenzione all''ambiente della città]]=10),Tab_valori[[#This Row],[Città Airbnb]],"-")</f>
        <v>-</v>
      </c>
    </row>
    <row r="196" spans="1:21" x14ac:dyDescent="0.2">
      <c r="A196" s="2">
        <v>3088</v>
      </c>
      <c r="B196" s="2" t="s">
        <v>433</v>
      </c>
      <c r="C196" s="2" t="s">
        <v>434</v>
      </c>
      <c r="D196" s="3">
        <v>122</v>
      </c>
      <c r="E196" s="2">
        <v>1</v>
      </c>
      <c r="F196" s="3">
        <f>Tab_valori[[#This Row],[Costo a Notte (€)]]*Tab_valori[[#This Row],[Numero Notti]]</f>
        <v>122</v>
      </c>
      <c r="G196" s="3">
        <f>Tab_valori[[#This Row],[Spesa totale per ogni utente ]]/Tab_valori[[#This Row],[Membri della Famiglia]]</f>
        <v>61</v>
      </c>
      <c r="H196" s="2" t="s">
        <v>291</v>
      </c>
      <c r="I196" s="4">
        <v>32074</v>
      </c>
      <c r="J196" s="2">
        <v>2</v>
      </c>
      <c r="K196" s="2">
        <v>3</v>
      </c>
      <c r="L196" s="2">
        <v>6</v>
      </c>
      <c r="M196" s="2" t="s">
        <v>17</v>
      </c>
      <c r="N196" s="2" t="s">
        <v>17</v>
      </c>
      <c r="O196" s="2" t="s">
        <v>17</v>
      </c>
      <c r="U196" t="str">
        <f>IF(AND(Tab_valori[[#This Row],[Valutazione]]=5,Tab_valori[[#This Row],[Valutazione sull''attenzione all''ambiente della città]]=10),Tab_valori[[#This Row],[Città Airbnb]],"-")</f>
        <v>-</v>
      </c>
    </row>
    <row r="197" spans="1:21" x14ac:dyDescent="0.2">
      <c r="A197" s="2">
        <v>4719</v>
      </c>
      <c r="B197" s="2" t="s">
        <v>435</v>
      </c>
      <c r="C197" s="2" t="s">
        <v>436</v>
      </c>
      <c r="D197" s="3">
        <v>181</v>
      </c>
      <c r="E197" s="2">
        <v>8</v>
      </c>
      <c r="F197" s="3">
        <f>Tab_valori[[#This Row],[Costo a Notte (€)]]*Tab_valori[[#This Row],[Numero Notti]]</f>
        <v>1448</v>
      </c>
      <c r="G197" s="3">
        <f>Tab_valori[[#This Row],[Spesa totale per ogni utente ]]/Tab_valori[[#This Row],[Membri della Famiglia]]</f>
        <v>362</v>
      </c>
      <c r="H197" s="2" t="s">
        <v>20</v>
      </c>
      <c r="I197" s="4">
        <v>28153</v>
      </c>
      <c r="J197" s="2">
        <v>4</v>
      </c>
      <c r="K197" s="2">
        <v>3</v>
      </c>
      <c r="L197" s="2">
        <v>8</v>
      </c>
      <c r="M197" s="2" t="s">
        <v>17</v>
      </c>
      <c r="N197" s="2" t="s">
        <v>17</v>
      </c>
      <c r="O197" s="2" t="s">
        <v>16</v>
      </c>
      <c r="U197" t="str">
        <f>IF(AND(Tab_valori[[#This Row],[Valutazione]]=5,Tab_valori[[#This Row],[Valutazione sull''attenzione all''ambiente della città]]=10),Tab_valori[[#This Row],[Città Airbnb]],"-")</f>
        <v>-</v>
      </c>
    </row>
    <row r="198" spans="1:21" x14ac:dyDescent="0.2">
      <c r="A198" s="2">
        <v>2517</v>
      </c>
      <c r="B198" s="2" t="s">
        <v>437</v>
      </c>
      <c r="C198" s="2" t="s">
        <v>438</v>
      </c>
      <c r="D198" s="3">
        <v>139</v>
      </c>
      <c r="E198" s="2">
        <v>3</v>
      </c>
      <c r="F198" s="3">
        <f>Tab_valori[[#This Row],[Costo a Notte (€)]]*Tab_valori[[#This Row],[Numero Notti]]</f>
        <v>417</v>
      </c>
      <c r="G198" s="3">
        <f>Tab_valori[[#This Row],[Spesa totale per ogni utente ]]/Tab_valori[[#This Row],[Membri della Famiglia]]</f>
        <v>208.5</v>
      </c>
      <c r="H198" s="2" t="s">
        <v>101</v>
      </c>
      <c r="I198" s="4">
        <v>28186</v>
      </c>
      <c r="J198" s="2">
        <v>2</v>
      </c>
      <c r="K198" s="2">
        <v>5</v>
      </c>
      <c r="L198" s="2">
        <v>8</v>
      </c>
      <c r="M198" s="2" t="s">
        <v>16</v>
      </c>
      <c r="N198" s="2" t="s">
        <v>17</v>
      </c>
      <c r="O198" s="2" t="s">
        <v>17</v>
      </c>
      <c r="U198" t="str">
        <f>IF(AND(Tab_valori[[#This Row],[Valutazione]]=5,Tab_valori[[#This Row],[Valutazione sull''attenzione all''ambiente della città]]=10),Tab_valori[[#This Row],[Città Airbnb]],"-")</f>
        <v>-</v>
      </c>
    </row>
    <row r="199" spans="1:21" x14ac:dyDescent="0.2">
      <c r="A199" s="2">
        <v>3314</v>
      </c>
      <c r="B199" s="2" t="s">
        <v>439</v>
      </c>
      <c r="C199" s="2" t="s">
        <v>440</v>
      </c>
      <c r="D199" s="3">
        <v>239</v>
      </c>
      <c r="E199" s="2">
        <v>7</v>
      </c>
      <c r="F199" s="3">
        <f>Tab_valori[[#This Row],[Costo a Notte (€)]]*Tab_valori[[#This Row],[Numero Notti]]</f>
        <v>1673</v>
      </c>
      <c r="G199" s="3">
        <f>Tab_valori[[#This Row],[Spesa totale per ogni utente ]]/Tab_valori[[#This Row],[Membri della Famiglia]]</f>
        <v>278.83333333333331</v>
      </c>
      <c r="H199" s="2" t="s">
        <v>164</v>
      </c>
      <c r="I199" s="4">
        <v>31416</v>
      </c>
      <c r="J199" s="2">
        <v>6</v>
      </c>
      <c r="K199" s="2">
        <v>3</v>
      </c>
      <c r="L199" s="2">
        <v>4</v>
      </c>
      <c r="M199" s="2" t="s">
        <v>17</v>
      </c>
      <c r="N199" s="2" t="s">
        <v>17</v>
      </c>
      <c r="O199" s="2" t="s">
        <v>16</v>
      </c>
      <c r="U199" t="str">
        <f>IF(AND(Tab_valori[[#This Row],[Valutazione]]=5,Tab_valori[[#This Row],[Valutazione sull''attenzione all''ambiente della città]]=10),Tab_valori[[#This Row],[Città Airbnb]],"-")</f>
        <v>-</v>
      </c>
    </row>
    <row r="200" spans="1:21" x14ac:dyDescent="0.2">
      <c r="A200" s="2">
        <v>5294</v>
      </c>
      <c r="B200" s="2" t="s">
        <v>441</v>
      </c>
      <c r="C200" s="2" t="s">
        <v>442</v>
      </c>
      <c r="D200" s="3">
        <v>281</v>
      </c>
      <c r="E200" s="2">
        <v>4</v>
      </c>
      <c r="F200" s="3">
        <f>Tab_valori[[#This Row],[Costo a Notte (€)]]*Tab_valori[[#This Row],[Numero Notti]]</f>
        <v>1124</v>
      </c>
      <c r="G200" s="3">
        <f>Tab_valori[[#This Row],[Spesa totale per ogni utente ]]/Tab_valori[[#This Row],[Membri della Famiglia]]</f>
        <v>1124</v>
      </c>
      <c r="H200" s="2" t="s">
        <v>37</v>
      </c>
      <c r="I200" s="4">
        <v>27267</v>
      </c>
      <c r="J200" s="2">
        <v>1</v>
      </c>
      <c r="K200" s="2">
        <v>3</v>
      </c>
      <c r="L200" s="2">
        <v>3</v>
      </c>
      <c r="M200" s="2" t="s">
        <v>16</v>
      </c>
      <c r="N200" s="2" t="s">
        <v>16</v>
      </c>
      <c r="O200" s="2" t="s">
        <v>17</v>
      </c>
      <c r="U200" t="str">
        <f>IF(AND(Tab_valori[[#This Row],[Valutazione]]=5,Tab_valori[[#This Row],[Valutazione sull''attenzione all''ambiente della città]]=10),Tab_valori[[#This Row],[Città Airbnb]],"-")</f>
        <v>-</v>
      </c>
    </row>
    <row r="201" spans="1:21" x14ac:dyDescent="0.2">
      <c r="A201" s="2">
        <v>4821</v>
      </c>
      <c r="B201" s="2" t="s">
        <v>443</v>
      </c>
      <c r="C201" s="2" t="s">
        <v>444</v>
      </c>
      <c r="D201" s="3">
        <v>239</v>
      </c>
      <c r="E201" s="2">
        <v>3</v>
      </c>
      <c r="F201" s="3">
        <f>Tab_valori[[#This Row],[Costo a Notte (€)]]*Tab_valori[[#This Row],[Numero Notti]]</f>
        <v>717</v>
      </c>
      <c r="G201" s="3">
        <f>Tab_valori[[#This Row],[Spesa totale per ogni utente ]]/Tab_valori[[#This Row],[Membri della Famiglia]]</f>
        <v>179.25</v>
      </c>
      <c r="H201" s="2" t="s">
        <v>291</v>
      </c>
      <c r="I201" s="4">
        <v>24630</v>
      </c>
      <c r="J201" s="2">
        <v>4</v>
      </c>
      <c r="K201" s="2">
        <v>3</v>
      </c>
      <c r="L201" s="2">
        <v>6</v>
      </c>
      <c r="M201" s="2" t="s">
        <v>17</v>
      </c>
      <c r="N201" s="2" t="s">
        <v>17</v>
      </c>
      <c r="O201" s="2" t="s">
        <v>17</v>
      </c>
      <c r="U201" t="str">
        <f>IF(AND(Tab_valori[[#This Row],[Valutazione]]=5,Tab_valori[[#This Row],[Valutazione sull''attenzione all''ambiente della città]]=10),Tab_valori[[#This Row],[Città Airbnb]],"-")</f>
        <v>-</v>
      </c>
    </row>
    <row r="202" spans="1:21" x14ac:dyDescent="0.2">
      <c r="A202" s="2">
        <v>2640</v>
      </c>
      <c r="B202" s="2" t="s">
        <v>445</v>
      </c>
      <c r="C202" s="2" t="s">
        <v>446</v>
      </c>
      <c r="D202" s="3">
        <v>178</v>
      </c>
      <c r="E202" s="2">
        <v>7</v>
      </c>
      <c r="F202" s="3">
        <f>Tab_valori[[#This Row],[Costo a Notte (€)]]*Tab_valori[[#This Row],[Numero Notti]]</f>
        <v>1246</v>
      </c>
      <c r="G202" s="3">
        <f>Tab_valori[[#This Row],[Spesa totale per ogni utente ]]/Tab_valori[[#This Row],[Membri della Famiglia]]</f>
        <v>249.2</v>
      </c>
      <c r="H202" s="2" t="s">
        <v>127</v>
      </c>
      <c r="I202" s="4">
        <v>33220</v>
      </c>
      <c r="J202" s="2">
        <v>5</v>
      </c>
      <c r="K202" s="2">
        <v>2</v>
      </c>
      <c r="L202" s="2">
        <v>7</v>
      </c>
      <c r="M202" s="2" t="s">
        <v>17</v>
      </c>
      <c r="N202" s="2" t="s">
        <v>16</v>
      </c>
      <c r="O202" s="2" t="s">
        <v>16</v>
      </c>
      <c r="U202" t="str">
        <f>IF(AND(Tab_valori[[#This Row],[Valutazione]]=5,Tab_valori[[#This Row],[Valutazione sull''attenzione all''ambiente della città]]=10),Tab_valori[[#This Row],[Città Airbnb]],"-")</f>
        <v>-</v>
      </c>
    </row>
    <row r="203" spans="1:21" x14ac:dyDescent="0.2">
      <c r="A203" s="2">
        <v>4456</v>
      </c>
      <c r="B203" s="2" t="s">
        <v>447</v>
      </c>
      <c r="C203" s="2" t="s">
        <v>448</v>
      </c>
      <c r="D203" s="3">
        <v>28</v>
      </c>
      <c r="E203" s="2">
        <v>1</v>
      </c>
      <c r="F203" s="3">
        <f>Tab_valori[[#This Row],[Costo a Notte (€)]]*Tab_valori[[#This Row],[Numero Notti]]</f>
        <v>28</v>
      </c>
      <c r="G203" s="3">
        <f>Tab_valori[[#This Row],[Spesa totale per ogni utente ]]/Tab_valori[[#This Row],[Membri della Famiglia]]</f>
        <v>14</v>
      </c>
      <c r="H203" s="2" t="s">
        <v>291</v>
      </c>
      <c r="I203" s="4">
        <v>33279</v>
      </c>
      <c r="J203" s="2">
        <v>2</v>
      </c>
      <c r="K203" s="2">
        <v>3</v>
      </c>
      <c r="L203" s="2">
        <v>9</v>
      </c>
      <c r="M203" s="2" t="s">
        <v>17</v>
      </c>
      <c r="N203" s="2" t="s">
        <v>17</v>
      </c>
      <c r="O203" s="2" t="s">
        <v>16</v>
      </c>
      <c r="U203" t="str">
        <f>IF(AND(Tab_valori[[#This Row],[Valutazione]]=5,Tab_valori[[#This Row],[Valutazione sull''attenzione all''ambiente della città]]=10),Tab_valori[[#This Row],[Città Airbnb]],"-")</f>
        <v>-</v>
      </c>
    </row>
    <row r="204" spans="1:21" x14ac:dyDescent="0.2">
      <c r="A204" s="2">
        <v>3850</v>
      </c>
      <c r="B204" s="2" t="s">
        <v>449</v>
      </c>
      <c r="C204" s="2" t="s">
        <v>450</v>
      </c>
      <c r="D204" s="3">
        <v>38</v>
      </c>
      <c r="E204" s="2">
        <v>3</v>
      </c>
      <c r="F204" s="3">
        <f>Tab_valori[[#This Row],[Costo a Notte (€)]]*Tab_valori[[#This Row],[Numero Notti]]</f>
        <v>114</v>
      </c>
      <c r="G204" s="3">
        <f>Tab_valori[[#This Row],[Spesa totale per ogni utente ]]/Tab_valori[[#This Row],[Membri della Famiglia]]</f>
        <v>22.8</v>
      </c>
      <c r="H204" s="2" t="s">
        <v>70</v>
      </c>
      <c r="I204" s="4">
        <v>24723</v>
      </c>
      <c r="J204" s="2">
        <v>5</v>
      </c>
      <c r="K204" s="2">
        <v>2</v>
      </c>
      <c r="L204" s="2">
        <v>6</v>
      </c>
      <c r="M204" s="2" t="s">
        <v>16</v>
      </c>
      <c r="N204" s="2" t="s">
        <v>17</v>
      </c>
      <c r="O204" s="2" t="s">
        <v>17</v>
      </c>
      <c r="U204" t="str">
        <f>IF(AND(Tab_valori[[#This Row],[Valutazione]]=5,Tab_valori[[#This Row],[Valutazione sull''attenzione all''ambiente della città]]=10),Tab_valori[[#This Row],[Città Airbnb]],"-")</f>
        <v>-</v>
      </c>
    </row>
    <row r="205" spans="1:21" x14ac:dyDescent="0.2">
      <c r="A205" s="2">
        <v>5254</v>
      </c>
      <c r="B205" s="2" t="s">
        <v>451</v>
      </c>
      <c r="C205" s="2" t="s">
        <v>452</v>
      </c>
      <c r="D205" s="3">
        <v>30</v>
      </c>
      <c r="E205" s="2">
        <v>3</v>
      </c>
      <c r="F205" s="3">
        <f>Tab_valori[[#This Row],[Costo a Notte (€)]]*Tab_valori[[#This Row],[Numero Notti]]</f>
        <v>90</v>
      </c>
      <c r="G205" s="3">
        <f>Tab_valori[[#This Row],[Spesa totale per ogni utente ]]/Tab_valori[[#This Row],[Membri della Famiglia]]</f>
        <v>12.857142857142858</v>
      </c>
      <c r="H205" s="2" t="s">
        <v>189</v>
      </c>
      <c r="I205" s="4">
        <v>29838</v>
      </c>
      <c r="J205" s="2">
        <v>7</v>
      </c>
      <c r="K205" s="2">
        <v>4</v>
      </c>
      <c r="L205" s="2">
        <v>0</v>
      </c>
      <c r="M205" s="2" t="s">
        <v>17</v>
      </c>
      <c r="N205" s="2" t="s">
        <v>17</v>
      </c>
      <c r="O205" s="2" t="s">
        <v>16</v>
      </c>
      <c r="U205" t="str">
        <f>IF(AND(Tab_valori[[#This Row],[Valutazione]]=5,Tab_valori[[#This Row],[Valutazione sull''attenzione all''ambiente della città]]=10),Tab_valori[[#This Row],[Città Airbnb]],"-")</f>
        <v>-</v>
      </c>
    </row>
    <row r="206" spans="1:21" x14ac:dyDescent="0.2">
      <c r="A206" s="2">
        <v>4023</v>
      </c>
      <c r="B206" s="2" t="s">
        <v>453</v>
      </c>
      <c r="C206" s="2" t="s">
        <v>454</v>
      </c>
      <c r="D206" s="3">
        <v>83</v>
      </c>
      <c r="E206" s="2">
        <v>6</v>
      </c>
      <c r="F206" s="3">
        <f>Tab_valori[[#This Row],[Costo a Notte (€)]]*Tab_valori[[#This Row],[Numero Notti]]</f>
        <v>498</v>
      </c>
      <c r="G206" s="3">
        <f>Tab_valori[[#This Row],[Spesa totale per ogni utente ]]/Tab_valori[[#This Row],[Membri della Famiglia]]</f>
        <v>99.6</v>
      </c>
      <c r="H206" s="2" t="s">
        <v>127</v>
      </c>
      <c r="I206" s="4">
        <v>31007</v>
      </c>
      <c r="J206" s="2">
        <v>5</v>
      </c>
      <c r="K206" s="2">
        <v>5</v>
      </c>
      <c r="L206" s="2">
        <v>1</v>
      </c>
      <c r="M206" s="2" t="s">
        <v>17</v>
      </c>
      <c r="N206" s="2" t="s">
        <v>16</v>
      </c>
      <c r="O206" s="2" t="s">
        <v>16</v>
      </c>
      <c r="U206" t="str">
        <f>IF(AND(Tab_valori[[#This Row],[Valutazione]]=5,Tab_valori[[#This Row],[Valutazione sull''attenzione all''ambiente della città]]=10),Tab_valori[[#This Row],[Città Airbnb]],"-")</f>
        <v>-</v>
      </c>
    </row>
    <row r="207" spans="1:21" x14ac:dyDescent="0.2">
      <c r="A207" s="2">
        <v>5142</v>
      </c>
      <c r="B207" s="2" t="s">
        <v>455</v>
      </c>
      <c r="C207" s="2" t="s">
        <v>456</v>
      </c>
      <c r="D207" s="3">
        <v>100</v>
      </c>
      <c r="E207" s="2">
        <v>8</v>
      </c>
      <c r="F207" s="3">
        <f>Tab_valori[[#This Row],[Costo a Notte (€)]]*Tab_valori[[#This Row],[Numero Notti]]</f>
        <v>800</v>
      </c>
      <c r="G207" s="3">
        <f>Tab_valori[[#This Row],[Spesa totale per ogni utente ]]/Tab_valori[[#This Row],[Membri della Famiglia]]</f>
        <v>266.66666666666669</v>
      </c>
      <c r="H207" s="2" t="s">
        <v>137</v>
      </c>
      <c r="I207" s="4">
        <v>22497</v>
      </c>
      <c r="J207" s="2">
        <v>3</v>
      </c>
      <c r="K207" s="2">
        <v>3</v>
      </c>
      <c r="L207" s="2">
        <v>7</v>
      </c>
      <c r="M207" s="2" t="s">
        <v>17</v>
      </c>
      <c r="N207" s="2" t="s">
        <v>17</v>
      </c>
      <c r="O207" s="2" t="s">
        <v>17</v>
      </c>
      <c r="U207" t="str">
        <f>IF(AND(Tab_valori[[#This Row],[Valutazione]]=5,Tab_valori[[#This Row],[Valutazione sull''attenzione all''ambiente della città]]=10),Tab_valori[[#This Row],[Città Airbnb]],"-")</f>
        <v>-</v>
      </c>
    </row>
    <row r="208" spans="1:21" x14ac:dyDescent="0.2">
      <c r="A208" s="2">
        <v>3596</v>
      </c>
      <c r="B208" s="2" t="s">
        <v>457</v>
      </c>
      <c r="C208" s="2" t="s">
        <v>458</v>
      </c>
      <c r="D208" s="3">
        <v>64</v>
      </c>
      <c r="E208" s="2">
        <v>1</v>
      </c>
      <c r="F208" s="3">
        <f>Tab_valori[[#This Row],[Costo a Notte (€)]]*Tab_valori[[#This Row],[Numero Notti]]</f>
        <v>64</v>
      </c>
      <c r="G208" s="3">
        <f>Tab_valori[[#This Row],[Spesa totale per ogni utente ]]/Tab_valori[[#This Row],[Membri della Famiglia]]</f>
        <v>12.8</v>
      </c>
      <c r="H208" s="2" t="s">
        <v>246</v>
      </c>
      <c r="I208" s="4">
        <v>31453</v>
      </c>
      <c r="J208" s="2">
        <v>5</v>
      </c>
      <c r="K208" s="2">
        <v>2</v>
      </c>
      <c r="L208" s="2">
        <v>3</v>
      </c>
      <c r="M208" s="2" t="s">
        <v>17</v>
      </c>
      <c r="N208" s="2" t="s">
        <v>16</v>
      </c>
      <c r="O208" s="2" t="s">
        <v>16</v>
      </c>
      <c r="U208" t="str">
        <f>IF(AND(Tab_valori[[#This Row],[Valutazione]]=5,Tab_valori[[#This Row],[Valutazione sull''attenzione all''ambiente della città]]=10),Tab_valori[[#This Row],[Città Airbnb]],"-")</f>
        <v>-</v>
      </c>
    </row>
    <row r="209" spans="1:21" x14ac:dyDescent="0.2">
      <c r="A209" s="2">
        <v>2339</v>
      </c>
      <c r="B209" s="2" t="s">
        <v>459</v>
      </c>
      <c r="C209" s="2" t="s">
        <v>460</v>
      </c>
      <c r="D209" s="3">
        <v>100</v>
      </c>
      <c r="E209" s="2">
        <v>3</v>
      </c>
      <c r="F209" s="3">
        <f>Tab_valori[[#This Row],[Costo a Notte (€)]]*Tab_valori[[#This Row],[Numero Notti]]</f>
        <v>300</v>
      </c>
      <c r="G209" s="3">
        <f>Tab_valori[[#This Row],[Spesa totale per ogni utente ]]/Tab_valori[[#This Row],[Membri della Famiglia]]</f>
        <v>150</v>
      </c>
      <c r="H209" s="2" t="s">
        <v>179</v>
      </c>
      <c r="I209" s="4">
        <v>31835</v>
      </c>
      <c r="J209" s="2">
        <v>2</v>
      </c>
      <c r="K209" s="2">
        <v>4</v>
      </c>
      <c r="L209" s="2">
        <v>3</v>
      </c>
      <c r="M209" s="2" t="s">
        <v>17</v>
      </c>
      <c r="N209" s="2" t="s">
        <v>17</v>
      </c>
      <c r="O209" s="2" t="s">
        <v>17</v>
      </c>
      <c r="U209" t="str">
        <f>IF(AND(Tab_valori[[#This Row],[Valutazione]]=5,Tab_valori[[#This Row],[Valutazione sull''attenzione all''ambiente della città]]=10),Tab_valori[[#This Row],[Città Airbnb]],"-")</f>
        <v>-</v>
      </c>
    </row>
    <row r="210" spans="1:21" x14ac:dyDescent="0.2">
      <c r="A210" s="2">
        <v>4756</v>
      </c>
      <c r="B210" s="2" t="s">
        <v>461</v>
      </c>
      <c r="C210" s="2" t="s">
        <v>462</v>
      </c>
      <c r="D210" s="3">
        <v>168</v>
      </c>
      <c r="E210" s="2">
        <v>10</v>
      </c>
      <c r="F210" s="3">
        <f>Tab_valori[[#This Row],[Costo a Notte (€)]]*Tab_valori[[#This Row],[Numero Notti]]</f>
        <v>1680</v>
      </c>
      <c r="G210" s="3">
        <f>Tab_valori[[#This Row],[Spesa totale per ogni utente ]]/Tab_valori[[#This Row],[Membri della Famiglia]]</f>
        <v>1680</v>
      </c>
      <c r="H210" s="2" t="s">
        <v>137</v>
      </c>
      <c r="I210" s="4">
        <v>28729</v>
      </c>
      <c r="J210" s="2">
        <v>1</v>
      </c>
      <c r="K210" s="2">
        <v>2</v>
      </c>
      <c r="L210" s="2">
        <v>4</v>
      </c>
      <c r="M210" s="2" t="s">
        <v>17</v>
      </c>
      <c r="N210" s="2" t="s">
        <v>17</v>
      </c>
      <c r="O210" s="2" t="s">
        <v>16</v>
      </c>
      <c r="U210" t="str">
        <f>IF(AND(Tab_valori[[#This Row],[Valutazione]]=5,Tab_valori[[#This Row],[Valutazione sull''attenzione all''ambiente della città]]=10),Tab_valori[[#This Row],[Città Airbnb]],"-")</f>
        <v>-</v>
      </c>
    </row>
    <row r="211" spans="1:21" x14ac:dyDescent="0.2">
      <c r="A211" s="2">
        <v>4203</v>
      </c>
      <c r="B211" s="2" t="s">
        <v>463</v>
      </c>
      <c r="C211" s="2" t="s">
        <v>464</v>
      </c>
      <c r="D211" s="3">
        <v>64</v>
      </c>
      <c r="E211" s="2">
        <v>7</v>
      </c>
      <c r="F211" s="3">
        <f>Tab_valori[[#This Row],[Costo a Notte (€)]]*Tab_valori[[#This Row],[Numero Notti]]</f>
        <v>448</v>
      </c>
      <c r="G211" s="3">
        <f>Tab_valori[[#This Row],[Spesa totale per ogni utente ]]/Tab_valori[[#This Row],[Membri della Famiglia]]</f>
        <v>149.33333333333334</v>
      </c>
      <c r="H211" s="2" t="s">
        <v>127</v>
      </c>
      <c r="I211" s="4">
        <v>30283</v>
      </c>
      <c r="J211" s="2">
        <v>3</v>
      </c>
      <c r="K211" s="2">
        <v>3</v>
      </c>
      <c r="L211" s="2">
        <v>8</v>
      </c>
      <c r="M211" s="2" t="s">
        <v>17</v>
      </c>
      <c r="N211" s="2" t="s">
        <v>17</v>
      </c>
      <c r="O211" s="2" t="s">
        <v>16</v>
      </c>
      <c r="U211" t="str">
        <f>IF(AND(Tab_valori[[#This Row],[Valutazione]]=5,Tab_valori[[#This Row],[Valutazione sull''attenzione all''ambiente della città]]=10),Tab_valori[[#This Row],[Città Airbnb]],"-")</f>
        <v>-</v>
      </c>
    </row>
    <row r="212" spans="1:21" x14ac:dyDescent="0.2">
      <c r="A212" s="2">
        <v>3789</v>
      </c>
      <c r="B212" s="2" t="s">
        <v>465</v>
      </c>
      <c r="C212" s="2" t="s">
        <v>466</v>
      </c>
      <c r="D212" s="3">
        <v>225</v>
      </c>
      <c r="E212" s="2">
        <v>4</v>
      </c>
      <c r="F212" s="3">
        <f>Tab_valori[[#This Row],[Costo a Notte (€)]]*Tab_valori[[#This Row],[Numero Notti]]</f>
        <v>900</v>
      </c>
      <c r="G212" s="3">
        <f>Tab_valori[[#This Row],[Spesa totale per ogni utente ]]/Tab_valori[[#This Row],[Membri della Famiglia]]</f>
        <v>128.57142857142858</v>
      </c>
      <c r="H212" s="2" t="s">
        <v>20</v>
      </c>
      <c r="I212" s="4">
        <v>27375</v>
      </c>
      <c r="J212" s="2">
        <v>7</v>
      </c>
      <c r="K212" s="2">
        <v>3</v>
      </c>
      <c r="L212" s="2">
        <v>0</v>
      </c>
      <c r="M212" s="2" t="s">
        <v>16</v>
      </c>
      <c r="N212" s="2" t="s">
        <v>16</v>
      </c>
      <c r="O212" s="2" t="s">
        <v>16</v>
      </c>
      <c r="U212" t="str">
        <f>IF(AND(Tab_valori[[#This Row],[Valutazione]]=5,Tab_valori[[#This Row],[Valutazione sull''attenzione all''ambiente della città]]=10),Tab_valori[[#This Row],[Città Airbnb]],"-")</f>
        <v>-</v>
      </c>
    </row>
    <row r="213" spans="1:21" x14ac:dyDescent="0.2">
      <c r="A213" s="2">
        <v>3474</v>
      </c>
      <c r="B213" s="2" t="s">
        <v>467</v>
      </c>
      <c r="C213" s="2" t="s">
        <v>468</v>
      </c>
      <c r="D213" s="3">
        <v>85</v>
      </c>
      <c r="E213" s="2">
        <v>9</v>
      </c>
      <c r="F213" s="3">
        <f>Tab_valori[[#This Row],[Costo a Notte (€)]]*Tab_valori[[#This Row],[Numero Notti]]</f>
        <v>765</v>
      </c>
      <c r="G213" s="3">
        <f>Tab_valori[[#This Row],[Spesa totale per ogni utente ]]/Tab_valori[[#This Row],[Membri della Famiglia]]</f>
        <v>765</v>
      </c>
      <c r="H213" s="2" t="s">
        <v>91</v>
      </c>
      <c r="I213" s="4">
        <v>28225</v>
      </c>
      <c r="J213" s="2">
        <v>1</v>
      </c>
      <c r="K213" s="2">
        <v>1</v>
      </c>
      <c r="L213" s="2">
        <v>1</v>
      </c>
      <c r="M213" s="2" t="s">
        <v>16</v>
      </c>
      <c r="N213" s="2" t="s">
        <v>17</v>
      </c>
      <c r="O213" s="2" t="s">
        <v>16</v>
      </c>
      <c r="U213" t="str">
        <f>IF(AND(Tab_valori[[#This Row],[Valutazione]]=5,Tab_valori[[#This Row],[Valutazione sull''attenzione all''ambiente della città]]=10),Tab_valori[[#This Row],[Città Airbnb]],"-")</f>
        <v>-</v>
      </c>
    </row>
    <row r="214" spans="1:21" x14ac:dyDescent="0.2">
      <c r="A214" s="2">
        <v>4918</v>
      </c>
      <c r="B214" s="2" t="s">
        <v>469</v>
      </c>
      <c r="C214" s="2" t="s">
        <v>470</v>
      </c>
      <c r="D214" s="3">
        <v>126</v>
      </c>
      <c r="E214" s="2">
        <v>6</v>
      </c>
      <c r="F214" s="3">
        <f>Tab_valori[[#This Row],[Costo a Notte (€)]]*Tab_valori[[#This Row],[Numero Notti]]</f>
        <v>756</v>
      </c>
      <c r="G214" s="3">
        <f>Tab_valori[[#This Row],[Spesa totale per ogni utente ]]/Tab_valori[[#This Row],[Membri della Famiglia]]</f>
        <v>108</v>
      </c>
      <c r="H214" s="2" t="s">
        <v>20</v>
      </c>
      <c r="I214" s="4">
        <v>29824</v>
      </c>
      <c r="J214" s="2">
        <v>7</v>
      </c>
      <c r="K214" s="2">
        <v>4</v>
      </c>
      <c r="L214" s="2">
        <v>5</v>
      </c>
      <c r="M214" s="2" t="s">
        <v>16</v>
      </c>
      <c r="N214" s="2" t="s">
        <v>17</v>
      </c>
      <c r="O214" s="2" t="s">
        <v>17</v>
      </c>
      <c r="U214" t="str">
        <f>IF(AND(Tab_valori[[#This Row],[Valutazione]]=5,Tab_valori[[#This Row],[Valutazione sull''attenzione all''ambiente della città]]=10),Tab_valori[[#This Row],[Città Airbnb]],"-")</f>
        <v>-</v>
      </c>
    </row>
    <row r="215" spans="1:21" x14ac:dyDescent="0.2">
      <c r="A215" s="2">
        <v>4203</v>
      </c>
      <c r="B215" s="2" t="s">
        <v>471</v>
      </c>
      <c r="C215" s="2" t="s">
        <v>472</v>
      </c>
      <c r="D215" s="3">
        <v>259</v>
      </c>
      <c r="E215" s="2">
        <v>5</v>
      </c>
      <c r="F215" s="3">
        <f>Tab_valori[[#This Row],[Costo a Notte (€)]]*Tab_valori[[#This Row],[Numero Notti]]</f>
        <v>1295</v>
      </c>
      <c r="G215" s="3">
        <f>Tab_valori[[#This Row],[Spesa totale per ogni utente ]]/Tab_valori[[#This Row],[Membri della Famiglia]]</f>
        <v>431.66666666666669</v>
      </c>
      <c r="H215" s="2" t="s">
        <v>34</v>
      </c>
      <c r="I215" s="4">
        <v>26755</v>
      </c>
      <c r="J215" s="2">
        <v>3</v>
      </c>
      <c r="K215" s="2">
        <v>2</v>
      </c>
      <c r="L215" s="2">
        <v>6</v>
      </c>
      <c r="M215" s="2" t="s">
        <v>16</v>
      </c>
      <c r="N215" s="2" t="s">
        <v>17</v>
      </c>
      <c r="O215" s="2" t="s">
        <v>17</v>
      </c>
      <c r="U215" t="str">
        <f>IF(AND(Tab_valori[[#This Row],[Valutazione]]=5,Tab_valori[[#This Row],[Valutazione sull''attenzione all''ambiente della città]]=10),Tab_valori[[#This Row],[Città Airbnb]],"-")</f>
        <v>-</v>
      </c>
    </row>
    <row r="216" spans="1:21" x14ac:dyDescent="0.2">
      <c r="A216" s="2">
        <v>4627</v>
      </c>
      <c r="B216" s="2" t="s">
        <v>473</v>
      </c>
      <c r="C216" s="2" t="s">
        <v>474</v>
      </c>
      <c r="D216" s="3">
        <v>296</v>
      </c>
      <c r="E216" s="2">
        <v>8</v>
      </c>
      <c r="F216" s="3">
        <f>Tab_valori[[#This Row],[Costo a Notte (€)]]*Tab_valori[[#This Row],[Numero Notti]]</f>
        <v>2368</v>
      </c>
      <c r="G216" s="3">
        <f>Tab_valori[[#This Row],[Spesa totale per ogni utente ]]/Tab_valori[[#This Row],[Membri della Famiglia]]</f>
        <v>338.28571428571428</v>
      </c>
      <c r="H216" s="2" t="s">
        <v>37</v>
      </c>
      <c r="I216" s="4">
        <v>28675</v>
      </c>
      <c r="J216" s="2">
        <v>7</v>
      </c>
      <c r="K216" s="2">
        <v>3</v>
      </c>
      <c r="L216" s="2">
        <v>10</v>
      </c>
      <c r="M216" s="2" t="s">
        <v>17</v>
      </c>
      <c r="N216" s="2" t="s">
        <v>17</v>
      </c>
      <c r="O216" s="2" t="s">
        <v>16</v>
      </c>
      <c r="U216" t="str">
        <f>IF(AND(Tab_valori[[#This Row],[Valutazione]]=5,Tab_valori[[#This Row],[Valutazione sull''attenzione all''ambiente della città]]=10),Tab_valori[[#This Row],[Città Airbnb]],"-")</f>
        <v>-</v>
      </c>
    </row>
    <row r="217" spans="1:21" x14ac:dyDescent="0.2">
      <c r="A217" s="2">
        <v>4240</v>
      </c>
      <c r="B217" s="2" t="s">
        <v>475</v>
      </c>
      <c r="C217" s="2" t="s">
        <v>476</v>
      </c>
      <c r="D217" s="3">
        <v>215</v>
      </c>
      <c r="E217" s="2">
        <v>2</v>
      </c>
      <c r="F217" s="3">
        <f>Tab_valori[[#This Row],[Costo a Notte (€)]]*Tab_valori[[#This Row],[Numero Notti]]</f>
        <v>430</v>
      </c>
      <c r="G217" s="3">
        <f>Tab_valori[[#This Row],[Spesa totale per ogni utente ]]/Tab_valori[[#This Row],[Membri della Famiglia]]</f>
        <v>107.5</v>
      </c>
      <c r="H217" s="2" t="s">
        <v>142</v>
      </c>
      <c r="I217" s="4">
        <v>28602</v>
      </c>
      <c r="J217" s="2">
        <v>4</v>
      </c>
      <c r="K217" s="2">
        <v>3</v>
      </c>
      <c r="L217" s="2">
        <v>8</v>
      </c>
      <c r="M217" s="2" t="s">
        <v>17</v>
      </c>
      <c r="N217" s="2" t="s">
        <v>17</v>
      </c>
      <c r="O217" s="2" t="s">
        <v>16</v>
      </c>
      <c r="U217" t="str">
        <f>IF(AND(Tab_valori[[#This Row],[Valutazione]]=5,Tab_valori[[#This Row],[Valutazione sull''attenzione all''ambiente della città]]=10),Tab_valori[[#This Row],[Città Airbnb]],"-")</f>
        <v>-</v>
      </c>
    </row>
    <row r="218" spans="1:21" x14ac:dyDescent="0.2">
      <c r="A218" s="2">
        <v>3074</v>
      </c>
      <c r="B218" s="2" t="s">
        <v>477</v>
      </c>
      <c r="C218" s="2" t="s">
        <v>353</v>
      </c>
      <c r="D218" s="3">
        <v>199</v>
      </c>
      <c r="E218" s="2">
        <v>9</v>
      </c>
      <c r="F218" s="3">
        <f>Tab_valori[[#This Row],[Costo a Notte (€)]]*Tab_valori[[#This Row],[Numero Notti]]</f>
        <v>1791</v>
      </c>
      <c r="G218" s="3">
        <f>Tab_valori[[#This Row],[Spesa totale per ogni utente ]]/Tab_valori[[#This Row],[Membri della Famiglia]]</f>
        <v>358.2</v>
      </c>
      <c r="H218" s="2" t="s">
        <v>29</v>
      </c>
      <c r="I218" s="4">
        <v>34637</v>
      </c>
      <c r="J218" s="2">
        <v>5</v>
      </c>
      <c r="K218" s="2">
        <v>5</v>
      </c>
      <c r="L218" s="2">
        <v>6</v>
      </c>
      <c r="M218" s="2" t="s">
        <v>17</v>
      </c>
      <c r="N218" s="2" t="s">
        <v>17</v>
      </c>
      <c r="O218" s="2" t="s">
        <v>16</v>
      </c>
      <c r="U218" t="str">
        <f>IF(AND(Tab_valori[[#This Row],[Valutazione]]=5,Tab_valori[[#This Row],[Valutazione sull''attenzione all''ambiente della città]]=10),Tab_valori[[#This Row],[Città Airbnb]],"-")</f>
        <v>-</v>
      </c>
    </row>
    <row r="219" spans="1:21" x14ac:dyDescent="0.2">
      <c r="A219" s="2">
        <v>3651</v>
      </c>
      <c r="B219" s="2" t="s">
        <v>478</v>
      </c>
      <c r="C219" s="2" t="s">
        <v>479</v>
      </c>
      <c r="D219" s="3">
        <v>261</v>
      </c>
      <c r="E219" s="2">
        <v>10</v>
      </c>
      <c r="F219" s="3">
        <f>Tab_valori[[#This Row],[Costo a Notte (€)]]*Tab_valori[[#This Row],[Numero Notti]]</f>
        <v>2610</v>
      </c>
      <c r="G219" s="3">
        <f>Tab_valori[[#This Row],[Spesa totale per ogni utente ]]/Tab_valori[[#This Row],[Membri della Famiglia]]</f>
        <v>870</v>
      </c>
      <c r="H219" s="2" t="s">
        <v>189</v>
      </c>
      <c r="I219" s="4">
        <v>28610</v>
      </c>
      <c r="J219" s="2">
        <v>3</v>
      </c>
      <c r="K219" s="2">
        <v>2</v>
      </c>
      <c r="L219" s="2">
        <v>1</v>
      </c>
      <c r="M219" s="2" t="s">
        <v>16</v>
      </c>
      <c r="N219" s="2" t="s">
        <v>17</v>
      </c>
      <c r="O219" s="2" t="s">
        <v>16</v>
      </c>
      <c r="U219" t="str">
        <f>IF(AND(Tab_valori[[#This Row],[Valutazione]]=5,Tab_valori[[#This Row],[Valutazione sull''attenzione all''ambiente della città]]=10),Tab_valori[[#This Row],[Città Airbnb]],"-")</f>
        <v>-</v>
      </c>
    </row>
    <row r="220" spans="1:21" x14ac:dyDescent="0.2">
      <c r="A220" s="2">
        <v>2304</v>
      </c>
      <c r="B220" s="2" t="s">
        <v>480</v>
      </c>
      <c r="C220" s="2" t="s">
        <v>438</v>
      </c>
      <c r="D220" s="3">
        <v>80</v>
      </c>
      <c r="E220" s="2">
        <v>4</v>
      </c>
      <c r="F220" s="3">
        <f>Tab_valori[[#This Row],[Costo a Notte (€)]]*Tab_valori[[#This Row],[Numero Notti]]</f>
        <v>320</v>
      </c>
      <c r="G220" s="3">
        <f>Tab_valori[[#This Row],[Spesa totale per ogni utente ]]/Tab_valori[[#This Row],[Membri della Famiglia]]</f>
        <v>106.66666666666667</v>
      </c>
      <c r="H220" s="2" t="s">
        <v>164</v>
      </c>
      <c r="I220" s="4">
        <v>31089</v>
      </c>
      <c r="J220" s="2">
        <v>3</v>
      </c>
      <c r="K220" s="2">
        <v>4</v>
      </c>
      <c r="L220" s="2">
        <v>6</v>
      </c>
      <c r="M220" s="2" t="s">
        <v>17</v>
      </c>
      <c r="N220" s="2" t="s">
        <v>16</v>
      </c>
      <c r="O220" s="2" t="s">
        <v>16</v>
      </c>
      <c r="U220" t="str">
        <f>IF(AND(Tab_valori[[#This Row],[Valutazione]]=5,Tab_valori[[#This Row],[Valutazione sull''attenzione all''ambiente della città]]=10),Tab_valori[[#This Row],[Città Airbnb]],"-")</f>
        <v>-</v>
      </c>
    </row>
    <row r="221" spans="1:21" x14ac:dyDescent="0.2">
      <c r="A221" s="2">
        <v>2983</v>
      </c>
      <c r="B221" s="2" t="s">
        <v>481</v>
      </c>
      <c r="C221" s="2" t="s">
        <v>482</v>
      </c>
      <c r="D221" s="3">
        <v>88</v>
      </c>
      <c r="E221" s="2">
        <v>2</v>
      </c>
      <c r="F221" s="3">
        <f>Tab_valori[[#This Row],[Costo a Notte (€)]]*Tab_valori[[#This Row],[Numero Notti]]</f>
        <v>176</v>
      </c>
      <c r="G221" s="3">
        <f>Tab_valori[[#This Row],[Spesa totale per ogni utente ]]/Tab_valori[[#This Row],[Membri della Famiglia]]</f>
        <v>88</v>
      </c>
      <c r="H221" s="2" t="s">
        <v>94</v>
      </c>
      <c r="I221" s="4">
        <v>33547</v>
      </c>
      <c r="J221" s="2">
        <v>2</v>
      </c>
      <c r="K221" s="2">
        <v>4</v>
      </c>
      <c r="L221" s="2">
        <v>5</v>
      </c>
      <c r="M221" s="2" t="s">
        <v>16</v>
      </c>
      <c r="N221" s="2" t="s">
        <v>16</v>
      </c>
      <c r="O221" s="2" t="s">
        <v>16</v>
      </c>
      <c r="U221" t="str">
        <f>IF(AND(Tab_valori[[#This Row],[Valutazione]]=5,Tab_valori[[#This Row],[Valutazione sull''attenzione all''ambiente della città]]=10),Tab_valori[[#This Row],[Città Airbnb]],"-")</f>
        <v>-</v>
      </c>
    </row>
    <row r="222" spans="1:21" x14ac:dyDescent="0.2">
      <c r="A222" s="2">
        <v>4106</v>
      </c>
      <c r="B222" s="2" t="s">
        <v>483</v>
      </c>
      <c r="C222" s="2" t="s">
        <v>484</v>
      </c>
      <c r="D222" s="3">
        <v>279</v>
      </c>
      <c r="E222" s="2">
        <v>10</v>
      </c>
      <c r="F222" s="3">
        <f>Tab_valori[[#This Row],[Costo a Notte (€)]]*Tab_valori[[#This Row],[Numero Notti]]</f>
        <v>2790</v>
      </c>
      <c r="G222" s="3">
        <f>Tab_valori[[#This Row],[Spesa totale per ogni utente ]]/Tab_valori[[#This Row],[Membri della Famiglia]]</f>
        <v>1395</v>
      </c>
      <c r="H222" s="2" t="s">
        <v>67</v>
      </c>
      <c r="I222" s="4">
        <v>31595</v>
      </c>
      <c r="J222" s="2">
        <v>2</v>
      </c>
      <c r="K222" s="2">
        <v>5</v>
      </c>
      <c r="L222" s="2">
        <v>8</v>
      </c>
      <c r="M222" s="2" t="s">
        <v>17</v>
      </c>
      <c r="N222" s="2" t="s">
        <v>16</v>
      </c>
      <c r="O222" s="2" t="s">
        <v>17</v>
      </c>
      <c r="U222" t="str">
        <f>IF(AND(Tab_valori[[#This Row],[Valutazione]]=5,Tab_valori[[#This Row],[Valutazione sull''attenzione all''ambiente della città]]=10),Tab_valori[[#This Row],[Città Airbnb]],"-")</f>
        <v>-</v>
      </c>
    </row>
    <row r="223" spans="1:21" x14ac:dyDescent="0.2">
      <c r="A223" s="2">
        <v>5407</v>
      </c>
      <c r="B223" s="2" t="s">
        <v>485</v>
      </c>
      <c r="C223" s="2" t="s">
        <v>486</v>
      </c>
      <c r="D223" s="3">
        <v>69</v>
      </c>
      <c r="E223" s="2">
        <v>9</v>
      </c>
      <c r="F223" s="3">
        <f>Tab_valori[[#This Row],[Costo a Notte (€)]]*Tab_valori[[#This Row],[Numero Notti]]</f>
        <v>621</v>
      </c>
      <c r="G223" s="3">
        <f>Tab_valori[[#This Row],[Spesa totale per ogni utente ]]/Tab_valori[[#This Row],[Membri della Famiglia]]</f>
        <v>124.2</v>
      </c>
      <c r="H223" s="2" t="s">
        <v>37</v>
      </c>
      <c r="I223" s="4">
        <v>31662</v>
      </c>
      <c r="J223" s="2">
        <v>5</v>
      </c>
      <c r="K223" s="2">
        <v>3</v>
      </c>
      <c r="L223" s="2">
        <v>5</v>
      </c>
      <c r="M223" s="2" t="s">
        <v>17</v>
      </c>
      <c r="N223" s="2" t="s">
        <v>16</v>
      </c>
      <c r="O223" s="2" t="s">
        <v>17</v>
      </c>
      <c r="U223" t="str">
        <f>IF(AND(Tab_valori[[#This Row],[Valutazione]]=5,Tab_valori[[#This Row],[Valutazione sull''attenzione all''ambiente della città]]=10),Tab_valori[[#This Row],[Città Airbnb]],"-")</f>
        <v>-</v>
      </c>
    </row>
    <row r="224" spans="1:21" x14ac:dyDescent="0.2">
      <c r="A224" s="2">
        <v>3569</v>
      </c>
      <c r="B224" s="2" t="s">
        <v>487</v>
      </c>
      <c r="C224" s="2" t="s">
        <v>488</v>
      </c>
      <c r="D224" s="3">
        <v>54</v>
      </c>
      <c r="E224" s="2">
        <v>5</v>
      </c>
      <c r="F224" s="3">
        <f>Tab_valori[[#This Row],[Costo a Notte (€)]]*Tab_valori[[#This Row],[Numero Notti]]</f>
        <v>270</v>
      </c>
      <c r="G224" s="3">
        <f>Tab_valori[[#This Row],[Spesa totale per ogni utente ]]/Tab_valori[[#This Row],[Membri della Famiglia]]</f>
        <v>45</v>
      </c>
      <c r="H224" s="2" t="s">
        <v>164</v>
      </c>
      <c r="I224" s="4">
        <v>23974</v>
      </c>
      <c r="J224" s="2">
        <v>6</v>
      </c>
      <c r="K224" s="2">
        <v>3</v>
      </c>
      <c r="L224" s="2">
        <v>6</v>
      </c>
      <c r="M224" s="2" t="s">
        <v>16</v>
      </c>
      <c r="N224" s="2" t="s">
        <v>17</v>
      </c>
      <c r="O224" s="2" t="s">
        <v>17</v>
      </c>
      <c r="U224" t="str">
        <f>IF(AND(Tab_valori[[#This Row],[Valutazione]]=5,Tab_valori[[#This Row],[Valutazione sull''attenzione all''ambiente della città]]=10),Tab_valori[[#This Row],[Città Airbnb]],"-")</f>
        <v>-</v>
      </c>
    </row>
    <row r="225" spans="1:21" x14ac:dyDescent="0.2">
      <c r="A225" s="2">
        <v>3262</v>
      </c>
      <c r="B225" s="2" t="s">
        <v>489</v>
      </c>
      <c r="C225" s="2" t="s">
        <v>490</v>
      </c>
      <c r="D225" s="3">
        <v>40</v>
      </c>
      <c r="E225" s="2">
        <v>4</v>
      </c>
      <c r="F225" s="3">
        <f>Tab_valori[[#This Row],[Costo a Notte (€)]]*Tab_valori[[#This Row],[Numero Notti]]</f>
        <v>160</v>
      </c>
      <c r="G225" s="3">
        <f>Tab_valori[[#This Row],[Spesa totale per ogni utente ]]/Tab_valori[[#This Row],[Membri della Famiglia]]</f>
        <v>40</v>
      </c>
      <c r="H225" s="2" t="s">
        <v>82</v>
      </c>
      <c r="I225" s="4">
        <v>20416</v>
      </c>
      <c r="J225" s="2">
        <v>4</v>
      </c>
      <c r="K225" s="2">
        <v>5</v>
      </c>
      <c r="L225" s="2">
        <v>4</v>
      </c>
      <c r="M225" s="2" t="s">
        <v>16</v>
      </c>
      <c r="N225" s="2" t="s">
        <v>17</v>
      </c>
      <c r="O225" s="2" t="s">
        <v>16</v>
      </c>
      <c r="U225" t="str">
        <f>IF(AND(Tab_valori[[#This Row],[Valutazione]]=5,Tab_valori[[#This Row],[Valutazione sull''attenzione all''ambiente della città]]=10),Tab_valori[[#This Row],[Città Airbnb]],"-")</f>
        <v>-</v>
      </c>
    </row>
    <row r="226" spans="1:21" x14ac:dyDescent="0.2">
      <c r="A226" s="2">
        <v>4565</v>
      </c>
      <c r="B226" s="2" t="s">
        <v>491</v>
      </c>
      <c r="C226" s="2" t="s">
        <v>492</v>
      </c>
      <c r="D226" s="3">
        <v>47</v>
      </c>
      <c r="E226" s="2">
        <v>8</v>
      </c>
      <c r="F226" s="3">
        <f>Tab_valori[[#This Row],[Costo a Notte (€)]]*Tab_valori[[#This Row],[Numero Notti]]</f>
        <v>376</v>
      </c>
      <c r="G226" s="3">
        <f>Tab_valori[[#This Row],[Spesa totale per ogni utente ]]/Tab_valori[[#This Row],[Membri della Famiglia]]</f>
        <v>75.2</v>
      </c>
      <c r="H226" s="2" t="s">
        <v>34</v>
      </c>
      <c r="I226" s="4">
        <v>20918</v>
      </c>
      <c r="J226" s="2">
        <v>5</v>
      </c>
      <c r="K226" s="2">
        <v>5</v>
      </c>
      <c r="L226" s="2">
        <v>9</v>
      </c>
      <c r="M226" s="2" t="s">
        <v>17</v>
      </c>
      <c r="N226" s="2" t="s">
        <v>17</v>
      </c>
      <c r="O226" s="2" t="s">
        <v>17</v>
      </c>
      <c r="U226" t="str">
        <f>IF(AND(Tab_valori[[#This Row],[Valutazione]]=5,Tab_valori[[#This Row],[Valutazione sull''attenzione all''ambiente della città]]=10),Tab_valori[[#This Row],[Città Airbnb]],"-")</f>
        <v>-</v>
      </c>
    </row>
    <row r="227" spans="1:21" x14ac:dyDescent="0.2">
      <c r="A227" s="2">
        <v>4457</v>
      </c>
      <c r="B227" s="2" t="s">
        <v>493</v>
      </c>
      <c r="C227" s="2" t="s">
        <v>494</v>
      </c>
      <c r="D227" s="3">
        <v>69</v>
      </c>
      <c r="E227" s="2">
        <v>2</v>
      </c>
      <c r="F227" s="3">
        <f>Tab_valori[[#This Row],[Costo a Notte (€)]]*Tab_valori[[#This Row],[Numero Notti]]</f>
        <v>138</v>
      </c>
      <c r="G227" s="3">
        <f>Tab_valori[[#This Row],[Spesa totale per ogni utente ]]/Tab_valori[[#This Row],[Membri della Famiglia]]</f>
        <v>138</v>
      </c>
      <c r="H227" s="2" t="s">
        <v>246</v>
      </c>
      <c r="I227" s="4">
        <v>27121</v>
      </c>
      <c r="J227" s="2">
        <v>1</v>
      </c>
      <c r="K227" s="2">
        <v>1</v>
      </c>
      <c r="L227" s="2">
        <v>10</v>
      </c>
      <c r="M227" s="2" t="s">
        <v>16</v>
      </c>
      <c r="N227" s="2" t="s">
        <v>16</v>
      </c>
      <c r="O227" s="2" t="s">
        <v>17</v>
      </c>
      <c r="U227" t="str">
        <f>IF(AND(Tab_valori[[#This Row],[Valutazione]]=5,Tab_valori[[#This Row],[Valutazione sull''attenzione all''ambiente della città]]=10),Tab_valori[[#This Row],[Città Airbnb]],"-")</f>
        <v>-</v>
      </c>
    </row>
    <row r="228" spans="1:21" x14ac:dyDescent="0.2">
      <c r="A228" s="2">
        <v>4598</v>
      </c>
      <c r="B228" s="2" t="s">
        <v>495</v>
      </c>
      <c r="C228" s="2" t="s">
        <v>496</v>
      </c>
      <c r="D228" s="3">
        <v>145</v>
      </c>
      <c r="E228" s="2">
        <v>9</v>
      </c>
      <c r="F228" s="3">
        <f>Tab_valori[[#This Row],[Costo a Notte (€)]]*Tab_valori[[#This Row],[Numero Notti]]</f>
        <v>1305</v>
      </c>
      <c r="G228" s="3">
        <f>Tab_valori[[#This Row],[Spesa totale per ogni utente ]]/Tab_valori[[#This Row],[Membri della Famiglia]]</f>
        <v>435</v>
      </c>
      <c r="H228" s="2" t="s">
        <v>58</v>
      </c>
      <c r="I228" s="4">
        <v>21470</v>
      </c>
      <c r="J228" s="2">
        <v>3</v>
      </c>
      <c r="K228" s="2">
        <v>1</v>
      </c>
      <c r="L228" s="2">
        <v>1</v>
      </c>
      <c r="M228" s="2" t="s">
        <v>16</v>
      </c>
      <c r="N228" s="2" t="s">
        <v>17</v>
      </c>
      <c r="O228" s="2" t="s">
        <v>16</v>
      </c>
      <c r="U228" t="str">
        <f>IF(AND(Tab_valori[[#This Row],[Valutazione]]=5,Tab_valori[[#This Row],[Valutazione sull''attenzione all''ambiente della città]]=10),Tab_valori[[#This Row],[Città Airbnb]],"-")</f>
        <v>-</v>
      </c>
    </row>
    <row r="229" spans="1:21" x14ac:dyDescent="0.2">
      <c r="A229" s="2">
        <v>2810</v>
      </c>
      <c r="B229" s="2" t="s">
        <v>497</v>
      </c>
      <c r="C229" s="2" t="s">
        <v>293</v>
      </c>
      <c r="D229" s="3">
        <v>153</v>
      </c>
      <c r="E229" s="2">
        <v>3</v>
      </c>
      <c r="F229" s="3">
        <f>Tab_valori[[#This Row],[Costo a Notte (€)]]*Tab_valori[[#This Row],[Numero Notti]]</f>
        <v>459</v>
      </c>
      <c r="G229" s="3">
        <f>Tab_valori[[#This Row],[Spesa totale per ogni utente ]]/Tab_valori[[#This Row],[Membri della Famiglia]]</f>
        <v>65.571428571428569</v>
      </c>
      <c r="H229" s="2" t="s">
        <v>34</v>
      </c>
      <c r="I229" s="4">
        <v>32740</v>
      </c>
      <c r="J229" s="2">
        <v>7</v>
      </c>
      <c r="K229" s="2">
        <v>2</v>
      </c>
      <c r="L229" s="2">
        <v>2</v>
      </c>
      <c r="M229" s="2" t="s">
        <v>17</v>
      </c>
      <c r="N229" s="2" t="s">
        <v>16</v>
      </c>
      <c r="O229" s="2" t="s">
        <v>16</v>
      </c>
      <c r="U229" t="str">
        <f>IF(AND(Tab_valori[[#This Row],[Valutazione]]=5,Tab_valori[[#This Row],[Valutazione sull''attenzione all''ambiente della città]]=10),Tab_valori[[#This Row],[Città Airbnb]],"-")</f>
        <v>-</v>
      </c>
    </row>
    <row r="230" spans="1:21" x14ac:dyDescent="0.2">
      <c r="A230" s="2">
        <v>4801</v>
      </c>
      <c r="B230" s="2" t="s">
        <v>498</v>
      </c>
      <c r="C230" s="2" t="s">
        <v>331</v>
      </c>
      <c r="D230" s="3">
        <v>231</v>
      </c>
      <c r="E230" s="2">
        <v>3</v>
      </c>
      <c r="F230" s="3">
        <f>Tab_valori[[#This Row],[Costo a Notte (€)]]*Tab_valori[[#This Row],[Numero Notti]]</f>
        <v>693</v>
      </c>
      <c r="G230" s="3">
        <f>Tab_valori[[#This Row],[Spesa totale per ogni utente ]]/Tab_valori[[#This Row],[Membri della Famiglia]]</f>
        <v>173.25</v>
      </c>
      <c r="H230" s="2" t="s">
        <v>73</v>
      </c>
      <c r="I230" s="4">
        <v>22439</v>
      </c>
      <c r="J230" s="2">
        <v>4</v>
      </c>
      <c r="K230" s="2">
        <v>1</v>
      </c>
      <c r="L230" s="2">
        <v>0</v>
      </c>
      <c r="M230" s="2" t="s">
        <v>16</v>
      </c>
      <c r="N230" s="2" t="s">
        <v>17</v>
      </c>
      <c r="O230" s="2" t="s">
        <v>16</v>
      </c>
      <c r="U230" t="str">
        <f>IF(AND(Tab_valori[[#This Row],[Valutazione]]=5,Tab_valori[[#This Row],[Valutazione sull''attenzione all''ambiente della città]]=10),Tab_valori[[#This Row],[Città Airbnb]],"-")</f>
        <v>-</v>
      </c>
    </row>
    <row r="231" spans="1:21" x14ac:dyDescent="0.2">
      <c r="A231" s="2">
        <v>5575</v>
      </c>
      <c r="B231" s="2" t="s">
        <v>499</v>
      </c>
      <c r="C231" s="2" t="s">
        <v>500</v>
      </c>
      <c r="D231" s="3">
        <v>142</v>
      </c>
      <c r="E231" s="2">
        <v>4</v>
      </c>
      <c r="F231" s="3">
        <f>Tab_valori[[#This Row],[Costo a Notte (€)]]*Tab_valori[[#This Row],[Numero Notti]]</f>
        <v>568</v>
      </c>
      <c r="G231" s="3">
        <f>Tab_valori[[#This Row],[Spesa totale per ogni utente ]]/Tab_valori[[#This Row],[Membri della Famiglia]]</f>
        <v>94.666666666666671</v>
      </c>
      <c r="H231" s="2" t="s">
        <v>20</v>
      </c>
      <c r="I231" s="4">
        <v>21389</v>
      </c>
      <c r="J231" s="2">
        <v>6</v>
      </c>
      <c r="K231" s="2">
        <v>2</v>
      </c>
      <c r="L231" s="2">
        <v>1</v>
      </c>
      <c r="M231" s="2" t="s">
        <v>17</v>
      </c>
      <c r="N231" s="2" t="s">
        <v>17</v>
      </c>
      <c r="O231" s="2" t="s">
        <v>16</v>
      </c>
      <c r="U231" t="str">
        <f>IF(AND(Tab_valori[[#This Row],[Valutazione]]=5,Tab_valori[[#This Row],[Valutazione sull''attenzione all''ambiente della città]]=10),Tab_valori[[#This Row],[Città Airbnb]],"-")</f>
        <v>-</v>
      </c>
    </row>
    <row r="232" spans="1:21" x14ac:dyDescent="0.2">
      <c r="A232" s="2">
        <v>3239</v>
      </c>
      <c r="B232" s="2" t="s">
        <v>501</v>
      </c>
      <c r="C232" s="2" t="s">
        <v>502</v>
      </c>
      <c r="D232" s="3">
        <v>54</v>
      </c>
      <c r="E232" s="2">
        <v>9</v>
      </c>
      <c r="F232" s="3">
        <f>Tab_valori[[#This Row],[Costo a Notte (€)]]*Tab_valori[[#This Row],[Numero Notti]]</f>
        <v>486</v>
      </c>
      <c r="G232" s="3">
        <f>Tab_valori[[#This Row],[Spesa totale per ogni utente ]]/Tab_valori[[#This Row],[Membri della Famiglia]]</f>
        <v>69.428571428571431</v>
      </c>
      <c r="H232" s="2" t="s">
        <v>53</v>
      </c>
      <c r="I232" s="4">
        <v>24432</v>
      </c>
      <c r="J232" s="2">
        <v>7</v>
      </c>
      <c r="K232" s="2">
        <v>5</v>
      </c>
      <c r="L232" s="2">
        <v>2</v>
      </c>
      <c r="M232" s="2" t="s">
        <v>16</v>
      </c>
      <c r="N232" s="2" t="s">
        <v>16</v>
      </c>
      <c r="O232" s="2" t="s">
        <v>16</v>
      </c>
      <c r="U232" t="str">
        <f>IF(AND(Tab_valori[[#This Row],[Valutazione]]=5,Tab_valori[[#This Row],[Valutazione sull''attenzione all''ambiente della città]]=10),Tab_valori[[#This Row],[Città Airbnb]],"-")</f>
        <v>-</v>
      </c>
    </row>
    <row r="233" spans="1:21" x14ac:dyDescent="0.2">
      <c r="A233" s="2">
        <v>5308</v>
      </c>
      <c r="B233" s="2" t="s">
        <v>503</v>
      </c>
      <c r="C233" s="2" t="s">
        <v>504</v>
      </c>
      <c r="D233" s="3">
        <v>169</v>
      </c>
      <c r="E233" s="2">
        <v>7</v>
      </c>
      <c r="F233" s="3">
        <f>Tab_valori[[#This Row],[Costo a Notte (€)]]*Tab_valori[[#This Row],[Numero Notti]]</f>
        <v>1183</v>
      </c>
      <c r="G233" s="3">
        <f>Tab_valori[[#This Row],[Spesa totale per ogni utente ]]/Tab_valori[[#This Row],[Membri della Famiglia]]</f>
        <v>394.33333333333331</v>
      </c>
      <c r="H233" s="2" t="s">
        <v>63</v>
      </c>
      <c r="I233" s="4">
        <v>25294</v>
      </c>
      <c r="J233" s="2">
        <v>3</v>
      </c>
      <c r="K233" s="2">
        <v>3</v>
      </c>
      <c r="L233" s="2">
        <v>3</v>
      </c>
      <c r="M233" s="2" t="s">
        <v>16</v>
      </c>
      <c r="N233" s="2" t="s">
        <v>16</v>
      </c>
      <c r="O233" s="2" t="s">
        <v>17</v>
      </c>
      <c r="U233" t="str">
        <f>IF(AND(Tab_valori[[#This Row],[Valutazione]]=5,Tab_valori[[#This Row],[Valutazione sull''attenzione all''ambiente della città]]=10),Tab_valori[[#This Row],[Città Airbnb]],"-")</f>
        <v>-</v>
      </c>
    </row>
    <row r="234" spans="1:21" x14ac:dyDescent="0.2">
      <c r="A234" s="2">
        <v>3660</v>
      </c>
      <c r="B234" s="2" t="s">
        <v>505</v>
      </c>
      <c r="C234" s="2" t="s">
        <v>506</v>
      </c>
      <c r="D234" s="3">
        <v>280</v>
      </c>
      <c r="E234" s="2">
        <v>3</v>
      </c>
      <c r="F234" s="3">
        <f>Tab_valori[[#This Row],[Costo a Notte (€)]]*Tab_valori[[#This Row],[Numero Notti]]</f>
        <v>840</v>
      </c>
      <c r="G234" s="3">
        <f>Tab_valori[[#This Row],[Spesa totale per ogni utente ]]/Tab_valori[[#This Row],[Membri della Famiglia]]</f>
        <v>120</v>
      </c>
      <c r="H234" s="2" t="s">
        <v>130</v>
      </c>
      <c r="I234" s="4">
        <v>27110</v>
      </c>
      <c r="J234" s="2">
        <v>7</v>
      </c>
      <c r="K234" s="2">
        <v>2</v>
      </c>
      <c r="L234" s="2">
        <v>8</v>
      </c>
      <c r="M234" s="2" t="s">
        <v>16</v>
      </c>
      <c r="N234" s="2" t="s">
        <v>17</v>
      </c>
      <c r="O234" s="2" t="s">
        <v>16</v>
      </c>
      <c r="U234" t="str">
        <f>IF(AND(Tab_valori[[#This Row],[Valutazione]]=5,Tab_valori[[#This Row],[Valutazione sull''attenzione all''ambiente della città]]=10),Tab_valori[[#This Row],[Città Airbnb]],"-")</f>
        <v>-</v>
      </c>
    </row>
    <row r="235" spans="1:21" x14ac:dyDescent="0.2">
      <c r="A235" s="2">
        <v>3312</v>
      </c>
      <c r="B235" s="2" t="s">
        <v>507</v>
      </c>
      <c r="C235" s="2" t="s">
        <v>508</v>
      </c>
      <c r="D235" s="3">
        <v>95</v>
      </c>
      <c r="E235" s="2">
        <v>2</v>
      </c>
      <c r="F235" s="3">
        <f>Tab_valori[[#This Row],[Costo a Notte (€)]]*Tab_valori[[#This Row],[Numero Notti]]</f>
        <v>190</v>
      </c>
      <c r="G235" s="3">
        <f>Tab_valori[[#This Row],[Spesa totale per ogni utente ]]/Tab_valori[[#This Row],[Membri della Famiglia]]</f>
        <v>38</v>
      </c>
      <c r="H235" s="2" t="s">
        <v>26</v>
      </c>
      <c r="I235" s="4">
        <v>22569</v>
      </c>
      <c r="J235" s="2">
        <v>5</v>
      </c>
      <c r="K235" s="2">
        <v>4</v>
      </c>
      <c r="L235" s="2">
        <v>5</v>
      </c>
      <c r="M235" s="2" t="s">
        <v>16</v>
      </c>
      <c r="N235" s="2" t="s">
        <v>16</v>
      </c>
      <c r="O235" s="2" t="s">
        <v>17</v>
      </c>
      <c r="U235" t="str">
        <f>IF(AND(Tab_valori[[#This Row],[Valutazione]]=5,Tab_valori[[#This Row],[Valutazione sull''attenzione all''ambiente della città]]=10),Tab_valori[[#This Row],[Città Airbnb]],"-")</f>
        <v>-</v>
      </c>
    </row>
    <row r="236" spans="1:21" x14ac:dyDescent="0.2">
      <c r="A236" s="2">
        <v>5402</v>
      </c>
      <c r="B236" s="2" t="s">
        <v>509</v>
      </c>
      <c r="C236" s="2" t="s">
        <v>510</v>
      </c>
      <c r="D236" s="3">
        <v>186</v>
      </c>
      <c r="E236" s="2">
        <v>8</v>
      </c>
      <c r="F236" s="3">
        <f>Tab_valori[[#This Row],[Costo a Notte (€)]]*Tab_valori[[#This Row],[Numero Notti]]</f>
        <v>1488</v>
      </c>
      <c r="G236" s="3">
        <f>Tab_valori[[#This Row],[Spesa totale per ogni utente ]]/Tab_valori[[#This Row],[Membri della Famiglia]]</f>
        <v>744</v>
      </c>
      <c r="H236" s="2" t="s">
        <v>70</v>
      </c>
      <c r="I236" s="4">
        <v>33966</v>
      </c>
      <c r="J236" s="2">
        <v>2</v>
      </c>
      <c r="K236" s="2">
        <v>4</v>
      </c>
      <c r="L236" s="2">
        <v>5</v>
      </c>
      <c r="M236" s="2" t="s">
        <v>17</v>
      </c>
      <c r="N236" s="2" t="s">
        <v>16</v>
      </c>
      <c r="O236" s="2" t="s">
        <v>17</v>
      </c>
      <c r="U236" t="str">
        <f>IF(AND(Tab_valori[[#This Row],[Valutazione]]=5,Tab_valori[[#This Row],[Valutazione sull''attenzione all''ambiente della città]]=10),Tab_valori[[#This Row],[Città Airbnb]],"-")</f>
        <v>-</v>
      </c>
    </row>
    <row r="237" spans="1:21" x14ac:dyDescent="0.2">
      <c r="A237" s="2">
        <v>4067</v>
      </c>
      <c r="B237" s="2" t="s">
        <v>511</v>
      </c>
      <c r="C237" s="2" t="s">
        <v>472</v>
      </c>
      <c r="D237" s="3">
        <v>271</v>
      </c>
      <c r="E237" s="2">
        <v>3</v>
      </c>
      <c r="F237" s="3">
        <f>Tab_valori[[#This Row],[Costo a Notte (€)]]*Tab_valori[[#This Row],[Numero Notti]]</f>
        <v>813</v>
      </c>
      <c r="G237" s="3">
        <f>Tab_valori[[#This Row],[Spesa totale per ogni utente ]]/Tab_valori[[#This Row],[Membri della Famiglia]]</f>
        <v>135.5</v>
      </c>
      <c r="H237" s="2" t="s">
        <v>53</v>
      </c>
      <c r="I237" s="4">
        <v>30087</v>
      </c>
      <c r="J237" s="2">
        <v>6</v>
      </c>
      <c r="K237" s="2">
        <v>3</v>
      </c>
      <c r="L237" s="2">
        <v>0</v>
      </c>
      <c r="M237" s="2" t="s">
        <v>17</v>
      </c>
      <c r="N237" s="2" t="s">
        <v>17</v>
      </c>
      <c r="O237" s="2" t="s">
        <v>17</v>
      </c>
      <c r="U237" t="str">
        <f>IF(AND(Tab_valori[[#This Row],[Valutazione]]=5,Tab_valori[[#This Row],[Valutazione sull''attenzione all''ambiente della città]]=10),Tab_valori[[#This Row],[Città Airbnb]],"-")</f>
        <v>-</v>
      </c>
    </row>
    <row r="238" spans="1:21" x14ac:dyDescent="0.2">
      <c r="A238" s="2">
        <v>5253</v>
      </c>
      <c r="B238" s="2" t="s">
        <v>512</v>
      </c>
      <c r="C238" s="2" t="s">
        <v>513</v>
      </c>
      <c r="D238" s="3">
        <v>185</v>
      </c>
      <c r="E238" s="2">
        <v>7</v>
      </c>
      <c r="F238" s="3">
        <f>Tab_valori[[#This Row],[Costo a Notte (€)]]*Tab_valori[[#This Row],[Numero Notti]]</f>
        <v>1295</v>
      </c>
      <c r="G238" s="3">
        <f>Tab_valori[[#This Row],[Spesa totale per ogni utente ]]/Tab_valori[[#This Row],[Membri della Famiglia]]</f>
        <v>323.75</v>
      </c>
      <c r="H238" s="2" t="s">
        <v>127</v>
      </c>
      <c r="I238" s="4">
        <v>30702</v>
      </c>
      <c r="J238" s="2">
        <v>4</v>
      </c>
      <c r="K238" s="2">
        <v>1</v>
      </c>
      <c r="L238" s="2">
        <v>4</v>
      </c>
      <c r="M238" s="2" t="s">
        <v>16</v>
      </c>
      <c r="N238" s="2" t="s">
        <v>16</v>
      </c>
      <c r="O238" s="2" t="s">
        <v>16</v>
      </c>
      <c r="U238" t="str">
        <f>IF(AND(Tab_valori[[#This Row],[Valutazione]]=5,Tab_valori[[#This Row],[Valutazione sull''attenzione all''ambiente della città]]=10),Tab_valori[[#This Row],[Città Airbnb]],"-")</f>
        <v>-</v>
      </c>
    </row>
    <row r="239" spans="1:21" x14ac:dyDescent="0.2">
      <c r="A239" s="2">
        <v>4412</v>
      </c>
      <c r="B239" s="2" t="s">
        <v>514</v>
      </c>
      <c r="C239" s="2" t="s">
        <v>515</v>
      </c>
      <c r="D239" s="3">
        <v>184</v>
      </c>
      <c r="E239" s="2">
        <v>8</v>
      </c>
      <c r="F239" s="3">
        <f>Tab_valori[[#This Row],[Costo a Notte (€)]]*Tab_valori[[#This Row],[Numero Notti]]</f>
        <v>1472</v>
      </c>
      <c r="G239" s="3">
        <f>Tab_valori[[#This Row],[Spesa totale per ogni utente ]]/Tab_valori[[#This Row],[Membri della Famiglia]]</f>
        <v>368</v>
      </c>
      <c r="H239" s="2" t="s">
        <v>189</v>
      </c>
      <c r="I239" s="4">
        <v>31129</v>
      </c>
      <c r="J239" s="2">
        <v>4</v>
      </c>
      <c r="K239" s="2">
        <v>1</v>
      </c>
      <c r="L239" s="2">
        <v>3</v>
      </c>
      <c r="M239" s="2" t="s">
        <v>16</v>
      </c>
      <c r="N239" s="2" t="s">
        <v>17</v>
      </c>
      <c r="O239" s="2" t="s">
        <v>17</v>
      </c>
      <c r="U239" t="str">
        <f>IF(AND(Tab_valori[[#This Row],[Valutazione]]=5,Tab_valori[[#This Row],[Valutazione sull''attenzione all''ambiente della città]]=10),Tab_valori[[#This Row],[Città Airbnb]],"-")</f>
        <v>-</v>
      </c>
    </row>
    <row r="240" spans="1:21" x14ac:dyDescent="0.2">
      <c r="A240" s="2">
        <v>3911</v>
      </c>
      <c r="B240" s="2" t="s">
        <v>516</v>
      </c>
      <c r="C240" s="2" t="s">
        <v>517</v>
      </c>
      <c r="D240" s="3">
        <v>45</v>
      </c>
      <c r="E240" s="2">
        <v>6</v>
      </c>
      <c r="F240" s="3">
        <f>Tab_valori[[#This Row],[Costo a Notte (€)]]*Tab_valori[[#This Row],[Numero Notti]]</f>
        <v>270</v>
      </c>
      <c r="G240" s="3">
        <f>Tab_valori[[#This Row],[Spesa totale per ogni utente ]]/Tab_valori[[#This Row],[Membri della Famiglia]]</f>
        <v>45</v>
      </c>
      <c r="H240" s="2" t="s">
        <v>34</v>
      </c>
      <c r="I240" s="4">
        <v>33093</v>
      </c>
      <c r="J240" s="2">
        <v>6</v>
      </c>
      <c r="K240" s="2">
        <v>1</v>
      </c>
      <c r="L240" s="2">
        <v>9</v>
      </c>
      <c r="M240" s="2" t="s">
        <v>16</v>
      </c>
      <c r="N240" s="2" t="s">
        <v>16</v>
      </c>
      <c r="O240" s="2" t="s">
        <v>16</v>
      </c>
      <c r="U240" t="str">
        <f>IF(AND(Tab_valori[[#This Row],[Valutazione]]=5,Tab_valori[[#This Row],[Valutazione sull''attenzione all''ambiente della città]]=10),Tab_valori[[#This Row],[Città Airbnb]],"-")</f>
        <v>-</v>
      </c>
    </row>
    <row r="241" spans="1:21" x14ac:dyDescent="0.2">
      <c r="A241" s="2">
        <v>3924</v>
      </c>
      <c r="B241" s="2" t="s">
        <v>518</v>
      </c>
      <c r="C241" s="2" t="s">
        <v>519</v>
      </c>
      <c r="D241" s="3">
        <v>169</v>
      </c>
      <c r="E241" s="2">
        <v>3</v>
      </c>
      <c r="F241" s="3">
        <f>Tab_valori[[#This Row],[Costo a Notte (€)]]*Tab_valori[[#This Row],[Numero Notti]]</f>
        <v>507</v>
      </c>
      <c r="G241" s="3">
        <f>Tab_valori[[#This Row],[Spesa totale per ogni utente ]]/Tab_valori[[#This Row],[Membri della Famiglia]]</f>
        <v>72.428571428571431</v>
      </c>
      <c r="H241" s="2" t="s">
        <v>164</v>
      </c>
      <c r="I241" s="4">
        <v>25474</v>
      </c>
      <c r="J241" s="2">
        <v>7</v>
      </c>
      <c r="K241" s="2">
        <v>2</v>
      </c>
      <c r="L241" s="2">
        <v>8</v>
      </c>
      <c r="M241" s="2" t="s">
        <v>16</v>
      </c>
      <c r="N241" s="2" t="s">
        <v>16</v>
      </c>
      <c r="O241" s="2" t="s">
        <v>16</v>
      </c>
      <c r="U241" t="str">
        <f>IF(AND(Tab_valori[[#This Row],[Valutazione]]=5,Tab_valori[[#This Row],[Valutazione sull''attenzione all''ambiente della città]]=10),Tab_valori[[#This Row],[Città Airbnb]],"-")</f>
        <v>-</v>
      </c>
    </row>
    <row r="242" spans="1:21" x14ac:dyDescent="0.2">
      <c r="A242" s="2">
        <v>5584</v>
      </c>
      <c r="B242" s="2" t="s">
        <v>520</v>
      </c>
      <c r="C242" s="2" t="s">
        <v>521</v>
      </c>
      <c r="D242" s="3">
        <v>201</v>
      </c>
      <c r="E242" s="2">
        <v>4</v>
      </c>
      <c r="F242" s="3">
        <f>Tab_valori[[#This Row],[Costo a Notte (€)]]*Tab_valori[[#This Row],[Numero Notti]]</f>
        <v>804</v>
      </c>
      <c r="G242" s="3">
        <f>Tab_valori[[#This Row],[Spesa totale per ogni utente ]]/Tab_valori[[#This Row],[Membri della Famiglia]]</f>
        <v>201</v>
      </c>
      <c r="H242" s="2" t="s">
        <v>91</v>
      </c>
      <c r="I242" s="4">
        <v>31609</v>
      </c>
      <c r="J242" s="2">
        <v>4</v>
      </c>
      <c r="K242" s="2">
        <v>3</v>
      </c>
      <c r="L242" s="2">
        <v>4</v>
      </c>
      <c r="M242" s="2" t="s">
        <v>16</v>
      </c>
      <c r="N242" s="2" t="s">
        <v>16</v>
      </c>
      <c r="O242" s="2" t="s">
        <v>17</v>
      </c>
      <c r="U242" t="str">
        <f>IF(AND(Tab_valori[[#This Row],[Valutazione]]=5,Tab_valori[[#This Row],[Valutazione sull''attenzione all''ambiente della città]]=10),Tab_valori[[#This Row],[Città Airbnb]],"-")</f>
        <v>-</v>
      </c>
    </row>
    <row r="243" spans="1:21" x14ac:dyDescent="0.2">
      <c r="A243" s="2">
        <v>5284</v>
      </c>
      <c r="B243" s="2" t="s">
        <v>522</v>
      </c>
      <c r="C243" s="2" t="s">
        <v>523</v>
      </c>
      <c r="D243" s="3">
        <v>175</v>
      </c>
      <c r="E243" s="2">
        <v>6</v>
      </c>
      <c r="F243" s="3">
        <f>Tab_valori[[#This Row],[Costo a Notte (€)]]*Tab_valori[[#This Row],[Numero Notti]]</f>
        <v>1050</v>
      </c>
      <c r="G243" s="3">
        <f>Tab_valori[[#This Row],[Spesa totale per ogni utente ]]/Tab_valori[[#This Row],[Membri della Famiglia]]</f>
        <v>175</v>
      </c>
      <c r="H243" s="2" t="s">
        <v>124</v>
      </c>
      <c r="I243" s="4">
        <v>27371</v>
      </c>
      <c r="J243" s="2">
        <v>6</v>
      </c>
      <c r="K243" s="2">
        <v>2</v>
      </c>
      <c r="L243" s="2">
        <v>9</v>
      </c>
      <c r="M243" s="2" t="s">
        <v>16</v>
      </c>
      <c r="N243" s="2" t="s">
        <v>16</v>
      </c>
      <c r="O243" s="2" t="s">
        <v>17</v>
      </c>
      <c r="U243" t="str">
        <f>IF(AND(Tab_valori[[#This Row],[Valutazione]]=5,Tab_valori[[#This Row],[Valutazione sull''attenzione all''ambiente della città]]=10),Tab_valori[[#This Row],[Città Airbnb]],"-")</f>
        <v>-</v>
      </c>
    </row>
    <row r="244" spans="1:21" x14ac:dyDescent="0.2">
      <c r="A244" s="2">
        <v>2521</v>
      </c>
      <c r="B244" s="2" t="s">
        <v>524</v>
      </c>
      <c r="C244" s="2" t="s">
        <v>525</v>
      </c>
      <c r="D244" s="3">
        <v>263</v>
      </c>
      <c r="E244" s="2">
        <v>9</v>
      </c>
      <c r="F244" s="3">
        <f>Tab_valori[[#This Row],[Costo a Notte (€)]]*Tab_valori[[#This Row],[Numero Notti]]</f>
        <v>2367</v>
      </c>
      <c r="G244" s="3">
        <f>Tab_valori[[#This Row],[Spesa totale per ogni utente ]]/Tab_valori[[#This Row],[Membri della Famiglia]]</f>
        <v>1183.5</v>
      </c>
      <c r="H244" s="2" t="s">
        <v>130</v>
      </c>
      <c r="I244" s="4">
        <v>22719</v>
      </c>
      <c r="J244" s="2">
        <v>2</v>
      </c>
      <c r="K244" s="2">
        <v>5</v>
      </c>
      <c r="L244" s="2">
        <v>4</v>
      </c>
      <c r="M244" s="2" t="s">
        <v>17</v>
      </c>
      <c r="N244" s="2" t="s">
        <v>17</v>
      </c>
      <c r="O244" s="2" t="s">
        <v>17</v>
      </c>
      <c r="U244" t="str">
        <f>IF(AND(Tab_valori[[#This Row],[Valutazione]]=5,Tab_valori[[#This Row],[Valutazione sull''attenzione all''ambiente della città]]=10),Tab_valori[[#This Row],[Città Airbnb]],"-")</f>
        <v>-</v>
      </c>
    </row>
    <row r="245" spans="1:21" x14ac:dyDescent="0.2">
      <c r="A245" s="2">
        <v>5305</v>
      </c>
      <c r="B245" s="2" t="s">
        <v>526</v>
      </c>
      <c r="C245" s="2" t="s">
        <v>527</v>
      </c>
      <c r="D245" s="3">
        <v>126</v>
      </c>
      <c r="E245" s="2">
        <v>3</v>
      </c>
      <c r="F245" s="3">
        <f>Tab_valori[[#This Row],[Costo a Notte (€)]]*Tab_valori[[#This Row],[Numero Notti]]</f>
        <v>378</v>
      </c>
      <c r="G245" s="3">
        <f>Tab_valori[[#This Row],[Spesa totale per ogni utente ]]/Tab_valori[[#This Row],[Membri della Famiglia]]</f>
        <v>63</v>
      </c>
      <c r="H245" s="2" t="s">
        <v>70</v>
      </c>
      <c r="I245" s="4">
        <v>21336</v>
      </c>
      <c r="J245" s="2">
        <v>6</v>
      </c>
      <c r="K245" s="2">
        <v>3</v>
      </c>
      <c r="L245" s="2">
        <v>5</v>
      </c>
      <c r="M245" s="2" t="s">
        <v>17</v>
      </c>
      <c r="N245" s="2" t="s">
        <v>17</v>
      </c>
      <c r="O245" s="2" t="s">
        <v>17</v>
      </c>
      <c r="U245" t="str">
        <f>IF(AND(Tab_valori[[#This Row],[Valutazione]]=5,Tab_valori[[#This Row],[Valutazione sull''attenzione all''ambiente della città]]=10),Tab_valori[[#This Row],[Città Airbnb]],"-")</f>
        <v>-</v>
      </c>
    </row>
    <row r="246" spans="1:21" x14ac:dyDescent="0.2">
      <c r="A246" s="2">
        <v>2468</v>
      </c>
      <c r="B246" s="2" t="s">
        <v>528</v>
      </c>
      <c r="C246" s="2" t="s">
        <v>529</v>
      </c>
      <c r="D246" s="3">
        <v>71</v>
      </c>
      <c r="E246" s="2">
        <v>1</v>
      </c>
      <c r="F246" s="3">
        <f>Tab_valori[[#This Row],[Costo a Notte (€)]]*Tab_valori[[#This Row],[Numero Notti]]</f>
        <v>71</v>
      </c>
      <c r="G246" s="3">
        <f>Tab_valori[[#This Row],[Spesa totale per ogni utente ]]/Tab_valori[[#This Row],[Membri della Famiglia]]</f>
        <v>11.833333333333334</v>
      </c>
      <c r="H246" s="2" t="s">
        <v>147</v>
      </c>
      <c r="I246" s="4">
        <v>32079</v>
      </c>
      <c r="J246" s="2">
        <v>6</v>
      </c>
      <c r="K246" s="2">
        <v>1</v>
      </c>
      <c r="L246" s="2">
        <v>6</v>
      </c>
      <c r="M246" s="2" t="s">
        <v>17</v>
      </c>
      <c r="N246" s="2" t="s">
        <v>16</v>
      </c>
      <c r="O246" s="2" t="s">
        <v>17</v>
      </c>
      <c r="U246" t="str">
        <f>IF(AND(Tab_valori[[#This Row],[Valutazione]]=5,Tab_valori[[#This Row],[Valutazione sull''attenzione all''ambiente della città]]=10),Tab_valori[[#This Row],[Città Airbnb]],"-")</f>
        <v>-</v>
      </c>
    </row>
    <row r="247" spans="1:21" x14ac:dyDescent="0.2">
      <c r="A247" s="2">
        <v>4753</v>
      </c>
      <c r="B247" s="2" t="s">
        <v>530</v>
      </c>
      <c r="C247" s="2" t="s">
        <v>531</v>
      </c>
      <c r="D247" s="3">
        <v>283</v>
      </c>
      <c r="E247" s="2">
        <v>8</v>
      </c>
      <c r="F247" s="3">
        <f>Tab_valori[[#This Row],[Costo a Notte (€)]]*Tab_valori[[#This Row],[Numero Notti]]</f>
        <v>2264</v>
      </c>
      <c r="G247" s="3">
        <f>Tab_valori[[#This Row],[Spesa totale per ogni utente ]]/Tab_valori[[#This Row],[Membri della Famiglia]]</f>
        <v>754.66666666666663</v>
      </c>
      <c r="H247" s="2" t="s">
        <v>147</v>
      </c>
      <c r="I247" s="4">
        <v>23107</v>
      </c>
      <c r="J247" s="2">
        <v>3</v>
      </c>
      <c r="K247" s="2">
        <v>2</v>
      </c>
      <c r="L247" s="2">
        <v>3</v>
      </c>
      <c r="M247" s="2" t="s">
        <v>16</v>
      </c>
      <c r="N247" s="2" t="s">
        <v>16</v>
      </c>
      <c r="O247" s="2" t="s">
        <v>17</v>
      </c>
      <c r="U247" t="str">
        <f>IF(AND(Tab_valori[[#This Row],[Valutazione]]=5,Tab_valori[[#This Row],[Valutazione sull''attenzione all''ambiente della città]]=10),Tab_valori[[#This Row],[Città Airbnb]],"-")</f>
        <v>-</v>
      </c>
    </row>
    <row r="248" spans="1:21" x14ac:dyDescent="0.2">
      <c r="A248" s="2">
        <v>2722</v>
      </c>
      <c r="B248" s="2" t="s">
        <v>532</v>
      </c>
      <c r="C248" s="2" t="s">
        <v>236</v>
      </c>
      <c r="D248" s="3">
        <v>122</v>
      </c>
      <c r="E248" s="2">
        <v>2</v>
      </c>
      <c r="F248" s="3">
        <f>Tab_valori[[#This Row],[Costo a Notte (€)]]*Tab_valori[[#This Row],[Numero Notti]]</f>
        <v>244</v>
      </c>
      <c r="G248" s="3">
        <f>Tab_valori[[#This Row],[Spesa totale per ogni utente ]]/Tab_valori[[#This Row],[Membri della Famiglia]]</f>
        <v>34.857142857142854</v>
      </c>
      <c r="H248" s="2" t="s">
        <v>124</v>
      </c>
      <c r="I248" s="4">
        <v>28383</v>
      </c>
      <c r="J248" s="2">
        <v>7</v>
      </c>
      <c r="K248" s="2">
        <v>4</v>
      </c>
      <c r="L248" s="2">
        <v>9</v>
      </c>
      <c r="M248" s="2" t="s">
        <v>17</v>
      </c>
      <c r="N248" s="2" t="s">
        <v>16</v>
      </c>
      <c r="O248" s="2" t="s">
        <v>17</v>
      </c>
      <c r="U248" t="str">
        <f>IF(AND(Tab_valori[[#This Row],[Valutazione]]=5,Tab_valori[[#This Row],[Valutazione sull''attenzione all''ambiente della città]]=10),Tab_valori[[#This Row],[Città Airbnb]],"-")</f>
        <v>-</v>
      </c>
    </row>
    <row r="249" spans="1:21" x14ac:dyDescent="0.2">
      <c r="A249" s="2">
        <v>4717</v>
      </c>
      <c r="B249" s="2" t="s">
        <v>533</v>
      </c>
      <c r="C249" s="2" t="s">
        <v>534</v>
      </c>
      <c r="D249" s="3">
        <v>139</v>
      </c>
      <c r="E249" s="2">
        <v>2</v>
      </c>
      <c r="F249" s="3">
        <f>Tab_valori[[#This Row],[Costo a Notte (€)]]*Tab_valori[[#This Row],[Numero Notti]]</f>
        <v>278</v>
      </c>
      <c r="G249" s="3">
        <f>Tab_valori[[#This Row],[Spesa totale per ogni utente ]]/Tab_valori[[#This Row],[Membri della Famiglia]]</f>
        <v>278</v>
      </c>
      <c r="H249" s="2" t="s">
        <v>73</v>
      </c>
      <c r="I249" s="4">
        <v>21572</v>
      </c>
      <c r="J249" s="2">
        <v>1</v>
      </c>
      <c r="K249" s="2">
        <v>4</v>
      </c>
      <c r="L249" s="2">
        <v>1</v>
      </c>
      <c r="M249" s="2" t="s">
        <v>17</v>
      </c>
      <c r="N249" s="2" t="s">
        <v>16</v>
      </c>
      <c r="O249" s="2" t="s">
        <v>17</v>
      </c>
      <c r="U249" t="str">
        <f>IF(AND(Tab_valori[[#This Row],[Valutazione]]=5,Tab_valori[[#This Row],[Valutazione sull''attenzione all''ambiente della città]]=10),Tab_valori[[#This Row],[Città Airbnb]],"-")</f>
        <v>-</v>
      </c>
    </row>
    <row r="250" spans="1:21" x14ac:dyDescent="0.2">
      <c r="A250" s="2">
        <v>3640</v>
      </c>
      <c r="B250" s="2" t="s">
        <v>535</v>
      </c>
      <c r="C250" s="2" t="s">
        <v>536</v>
      </c>
      <c r="D250" s="3">
        <v>255</v>
      </c>
      <c r="E250" s="2">
        <v>9</v>
      </c>
      <c r="F250" s="3">
        <f>Tab_valori[[#This Row],[Costo a Notte (€)]]*Tab_valori[[#This Row],[Numero Notti]]</f>
        <v>2295</v>
      </c>
      <c r="G250" s="3">
        <f>Tab_valori[[#This Row],[Spesa totale per ogni utente ]]/Tab_valori[[#This Row],[Membri della Famiglia]]</f>
        <v>573.75</v>
      </c>
      <c r="H250" s="2" t="s">
        <v>20</v>
      </c>
      <c r="I250" s="4">
        <v>23485</v>
      </c>
      <c r="J250" s="2">
        <v>4</v>
      </c>
      <c r="K250" s="2">
        <v>2</v>
      </c>
      <c r="L250" s="2">
        <v>6</v>
      </c>
      <c r="M250" s="2" t="s">
        <v>16</v>
      </c>
      <c r="N250" s="2" t="s">
        <v>16</v>
      </c>
      <c r="O250" s="2" t="s">
        <v>16</v>
      </c>
      <c r="U250" t="str">
        <f>IF(AND(Tab_valori[[#This Row],[Valutazione]]=5,Tab_valori[[#This Row],[Valutazione sull''attenzione all''ambiente della città]]=10),Tab_valori[[#This Row],[Città Airbnb]],"-")</f>
        <v>-</v>
      </c>
    </row>
    <row r="251" spans="1:21" x14ac:dyDescent="0.2">
      <c r="A251" s="2">
        <v>3083</v>
      </c>
      <c r="B251" s="2" t="s">
        <v>537</v>
      </c>
      <c r="C251" s="2" t="s">
        <v>538</v>
      </c>
      <c r="D251" s="3">
        <v>129</v>
      </c>
      <c r="E251" s="2">
        <v>1</v>
      </c>
      <c r="F251" s="3">
        <f>Tab_valori[[#This Row],[Costo a Notte (€)]]*Tab_valori[[#This Row],[Numero Notti]]</f>
        <v>129</v>
      </c>
      <c r="G251" s="3">
        <f>Tab_valori[[#This Row],[Spesa totale per ogni utente ]]/Tab_valori[[#This Row],[Membri della Famiglia]]</f>
        <v>21.5</v>
      </c>
      <c r="H251" s="2" t="s">
        <v>67</v>
      </c>
      <c r="I251" s="4">
        <v>20849</v>
      </c>
      <c r="J251" s="2">
        <v>6</v>
      </c>
      <c r="K251" s="2">
        <v>4</v>
      </c>
      <c r="L251" s="2">
        <v>9</v>
      </c>
      <c r="M251" s="2" t="s">
        <v>16</v>
      </c>
      <c r="N251" s="2" t="s">
        <v>16</v>
      </c>
      <c r="O251" s="2" t="s">
        <v>16</v>
      </c>
      <c r="U251" t="str">
        <f>IF(AND(Tab_valori[[#This Row],[Valutazione]]=5,Tab_valori[[#This Row],[Valutazione sull''attenzione all''ambiente della città]]=10),Tab_valori[[#This Row],[Città Airbnb]],"-")</f>
        <v>-</v>
      </c>
    </row>
    <row r="252" spans="1:21" x14ac:dyDescent="0.2">
      <c r="A252" s="2">
        <v>3011</v>
      </c>
      <c r="B252" s="2" t="s">
        <v>539</v>
      </c>
      <c r="C252" s="2" t="s">
        <v>540</v>
      </c>
      <c r="D252" s="3">
        <v>222</v>
      </c>
      <c r="E252" s="2">
        <v>7</v>
      </c>
      <c r="F252" s="3">
        <f>Tab_valori[[#This Row],[Costo a Notte (€)]]*Tab_valori[[#This Row],[Numero Notti]]</f>
        <v>1554</v>
      </c>
      <c r="G252" s="3">
        <f>Tab_valori[[#This Row],[Spesa totale per ogni utente ]]/Tab_valori[[#This Row],[Membri della Famiglia]]</f>
        <v>310.8</v>
      </c>
      <c r="H252" s="2" t="s">
        <v>147</v>
      </c>
      <c r="I252" s="4">
        <v>32425</v>
      </c>
      <c r="J252" s="2">
        <v>5</v>
      </c>
      <c r="K252" s="2">
        <v>3</v>
      </c>
      <c r="L252" s="2">
        <v>6</v>
      </c>
      <c r="M252" s="2" t="s">
        <v>16</v>
      </c>
      <c r="N252" s="2" t="s">
        <v>17</v>
      </c>
      <c r="O252" s="2" t="s">
        <v>16</v>
      </c>
      <c r="U252" t="str">
        <f>IF(AND(Tab_valori[[#This Row],[Valutazione]]=5,Tab_valori[[#This Row],[Valutazione sull''attenzione all''ambiente della città]]=10),Tab_valori[[#This Row],[Città Airbnb]],"-")</f>
        <v>-</v>
      </c>
    </row>
    <row r="253" spans="1:21" x14ac:dyDescent="0.2">
      <c r="A253" s="2">
        <v>2312</v>
      </c>
      <c r="B253" s="2" t="s">
        <v>541</v>
      </c>
      <c r="C253" s="2" t="s">
        <v>542</v>
      </c>
      <c r="D253" s="3">
        <v>160</v>
      </c>
      <c r="E253" s="2">
        <v>6</v>
      </c>
      <c r="F253" s="3">
        <f>Tab_valori[[#This Row],[Costo a Notte (€)]]*Tab_valori[[#This Row],[Numero Notti]]</f>
        <v>960</v>
      </c>
      <c r="G253" s="3">
        <f>Tab_valori[[#This Row],[Spesa totale per ogni utente ]]/Tab_valori[[#This Row],[Membri della Famiglia]]</f>
        <v>960</v>
      </c>
      <c r="H253" s="2" t="s">
        <v>58</v>
      </c>
      <c r="I253" s="4">
        <v>29969</v>
      </c>
      <c r="J253" s="2">
        <v>1</v>
      </c>
      <c r="K253" s="2">
        <v>1</v>
      </c>
      <c r="L253" s="2">
        <v>4</v>
      </c>
      <c r="M253" s="2" t="s">
        <v>16</v>
      </c>
      <c r="N253" s="2" t="s">
        <v>17</v>
      </c>
      <c r="O253" s="2" t="s">
        <v>16</v>
      </c>
      <c r="U253" t="str">
        <f>IF(AND(Tab_valori[[#This Row],[Valutazione]]=5,Tab_valori[[#This Row],[Valutazione sull''attenzione all''ambiente della città]]=10),Tab_valori[[#This Row],[Città Airbnb]],"-")</f>
        <v>-</v>
      </c>
    </row>
    <row r="254" spans="1:21" x14ac:dyDescent="0.2">
      <c r="A254" s="2">
        <v>3413</v>
      </c>
      <c r="B254" s="2" t="s">
        <v>543</v>
      </c>
      <c r="C254" s="2" t="s">
        <v>544</v>
      </c>
      <c r="D254" s="3">
        <v>277</v>
      </c>
      <c r="E254" s="2">
        <v>3</v>
      </c>
      <c r="F254" s="3">
        <f>Tab_valori[[#This Row],[Costo a Notte (€)]]*Tab_valori[[#This Row],[Numero Notti]]</f>
        <v>831</v>
      </c>
      <c r="G254" s="3">
        <f>Tab_valori[[#This Row],[Spesa totale per ogni utente ]]/Tab_valori[[#This Row],[Membri della Famiglia]]</f>
        <v>277</v>
      </c>
      <c r="H254" s="2" t="s">
        <v>189</v>
      </c>
      <c r="I254" s="4">
        <v>27344</v>
      </c>
      <c r="J254" s="2">
        <v>3</v>
      </c>
      <c r="K254" s="2">
        <v>4</v>
      </c>
      <c r="L254" s="2">
        <v>4</v>
      </c>
      <c r="M254" s="2" t="s">
        <v>16</v>
      </c>
      <c r="N254" s="2" t="s">
        <v>17</v>
      </c>
      <c r="O254" s="2" t="s">
        <v>17</v>
      </c>
      <c r="U254" t="str">
        <f>IF(AND(Tab_valori[[#This Row],[Valutazione]]=5,Tab_valori[[#This Row],[Valutazione sull''attenzione all''ambiente della città]]=10),Tab_valori[[#This Row],[Città Airbnb]],"-")</f>
        <v>-</v>
      </c>
    </row>
    <row r="255" spans="1:21" x14ac:dyDescent="0.2">
      <c r="A255" s="2">
        <v>2582</v>
      </c>
      <c r="B255" s="2" t="s">
        <v>545</v>
      </c>
      <c r="C255" s="2" t="s">
        <v>546</v>
      </c>
      <c r="D255" s="3">
        <v>300</v>
      </c>
      <c r="E255" s="2">
        <v>6</v>
      </c>
      <c r="F255" s="3">
        <f>Tab_valori[[#This Row],[Costo a Notte (€)]]*Tab_valori[[#This Row],[Numero Notti]]</f>
        <v>1800</v>
      </c>
      <c r="G255" s="3">
        <f>Tab_valori[[#This Row],[Spesa totale per ogni utente ]]/Tab_valori[[#This Row],[Membri della Famiglia]]</f>
        <v>300</v>
      </c>
      <c r="H255" s="2" t="s">
        <v>184</v>
      </c>
      <c r="I255" s="4">
        <v>21412</v>
      </c>
      <c r="J255" s="2">
        <v>6</v>
      </c>
      <c r="K255" s="2">
        <v>4</v>
      </c>
      <c r="L255" s="2">
        <v>9</v>
      </c>
      <c r="M255" s="2" t="s">
        <v>17</v>
      </c>
      <c r="N255" s="2" t="s">
        <v>16</v>
      </c>
      <c r="O255" s="2" t="s">
        <v>16</v>
      </c>
      <c r="U255" t="str">
        <f>IF(AND(Tab_valori[[#This Row],[Valutazione]]=5,Tab_valori[[#This Row],[Valutazione sull''attenzione all''ambiente della città]]=10),Tab_valori[[#This Row],[Città Airbnb]],"-")</f>
        <v>-</v>
      </c>
    </row>
    <row r="256" spans="1:21" x14ac:dyDescent="0.2">
      <c r="A256" s="2">
        <v>3561</v>
      </c>
      <c r="B256" s="2" t="s">
        <v>547</v>
      </c>
      <c r="C256" s="2" t="s">
        <v>548</v>
      </c>
      <c r="D256" s="3">
        <v>64</v>
      </c>
      <c r="E256" s="2">
        <v>6</v>
      </c>
      <c r="F256" s="3">
        <f>Tab_valori[[#This Row],[Costo a Notte (€)]]*Tab_valori[[#This Row],[Numero Notti]]</f>
        <v>384</v>
      </c>
      <c r="G256" s="3">
        <f>Tab_valori[[#This Row],[Spesa totale per ogni utente ]]/Tab_valori[[#This Row],[Membri della Famiglia]]</f>
        <v>54.857142857142854</v>
      </c>
      <c r="H256" s="2" t="s">
        <v>45</v>
      </c>
      <c r="I256" s="4">
        <v>34630</v>
      </c>
      <c r="J256" s="2">
        <v>7</v>
      </c>
      <c r="K256" s="2">
        <v>1</v>
      </c>
      <c r="L256" s="2">
        <v>8</v>
      </c>
      <c r="M256" s="2" t="s">
        <v>16</v>
      </c>
      <c r="N256" s="2" t="s">
        <v>17</v>
      </c>
      <c r="O256" s="2" t="s">
        <v>16</v>
      </c>
      <c r="U256" t="str">
        <f>IF(AND(Tab_valori[[#This Row],[Valutazione]]=5,Tab_valori[[#This Row],[Valutazione sull''attenzione all''ambiente della città]]=10),Tab_valori[[#This Row],[Città Airbnb]],"-")</f>
        <v>-</v>
      </c>
    </row>
    <row r="257" spans="1:21" x14ac:dyDescent="0.2">
      <c r="A257" s="2">
        <v>3133</v>
      </c>
      <c r="B257" s="2" t="s">
        <v>549</v>
      </c>
      <c r="C257" s="2" t="s">
        <v>550</v>
      </c>
      <c r="D257" s="3">
        <v>67</v>
      </c>
      <c r="E257" s="2">
        <v>3</v>
      </c>
      <c r="F257" s="3">
        <f>Tab_valori[[#This Row],[Costo a Notte (€)]]*Tab_valori[[#This Row],[Numero Notti]]</f>
        <v>201</v>
      </c>
      <c r="G257" s="3">
        <f>Tab_valori[[#This Row],[Spesa totale per ogni utente ]]/Tab_valori[[#This Row],[Membri della Famiglia]]</f>
        <v>28.714285714285715</v>
      </c>
      <c r="H257" s="2" t="s">
        <v>189</v>
      </c>
      <c r="I257" s="4">
        <v>23159</v>
      </c>
      <c r="J257" s="2">
        <v>7</v>
      </c>
      <c r="K257" s="2">
        <v>5</v>
      </c>
      <c r="L257" s="2">
        <v>8</v>
      </c>
      <c r="M257" s="2" t="s">
        <v>17</v>
      </c>
      <c r="N257" s="2" t="s">
        <v>17</v>
      </c>
      <c r="O257" s="2" t="s">
        <v>17</v>
      </c>
      <c r="U257" t="str">
        <f>IF(AND(Tab_valori[[#This Row],[Valutazione]]=5,Tab_valori[[#This Row],[Valutazione sull''attenzione all''ambiente della città]]=10),Tab_valori[[#This Row],[Città Airbnb]],"-")</f>
        <v>-</v>
      </c>
    </row>
    <row r="258" spans="1:21" x14ac:dyDescent="0.2">
      <c r="A258" s="2">
        <v>4080</v>
      </c>
      <c r="B258" s="2" t="s">
        <v>551</v>
      </c>
      <c r="C258" s="2" t="s">
        <v>552</v>
      </c>
      <c r="D258" s="3">
        <v>237</v>
      </c>
      <c r="E258" s="2">
        <v>8</v>
      </c>
      <c r="F258" s="3">
        <f>Tab_valori[[#This Row],[Costo a Notte (€)]]*Tab_valori[[#This Row],[Numero Notti]]</f>
        <v>1896</v>
      </c>
      <c r="G258" s="3">
        <f>Tab_valori[[#This Row],[Spesa totale per ogni utente ]]/Tab_valori[[#This Row],[Membri della Famiglia]]</f>
        <v>948</v>
      </c>
      <c r="H258" s="2" t="s">
        <v>53</v>
      </c>
      <c r="I258" s="4">
        <v>24077</v>
      </c>
      <c r="J258" s="2">
        <v>2</v>
      </c>
      <c r="K258" s="2">
        <v>4</v>
      </c>
      <c r="L258" s="2">
        <v>1</v>
      </c>
      <c r="M258" s="2" t="s">
        <v>17</v>
      </c>
      <c r="N258" s="2" t="s">
        <v>16</v>
      </c>
      <c r="O258" s="2" t="s">
        <v>17</v>
      </c>
      <c r="U258" t="str">
        <f>IF(AND(Tab_valori[[#This Row],[Valutazione]]=5,Tab_valori[[#This Row],[Valutazione sull''attenzione all''ambiente della città]]=10),Tab_valori[[#This Row],[Città Airbnb]],"-")</f>
        <v>-</v>
      </c>
    </row>
    <row r="259" spans="1:21" x14ac:dyDescent="0.2">
      <c r="A259" s="2">
        <v>2680</v>
      </c>
      <c r="B259" s="2" t="s">
        <v>553</v>
      </c>
      <c r="C259" s="2" t="s">
        <v>554</v>
      </c>
      <c r="D259" s="3">
        <v>167</v>
      </c>
      <c r="E259" s="2">
        <v>10</v>
      </c>
      <c r="F259" s="3">
        <f>Tab_valori[[#This Row],[Costo a Notte (€)]]*Tab_valori[[#This Row],[Numero Notti]]</f>
        <v>1670</v>
      </c>
      <c r="G259" s="3">
        <f>Tab_valori[[#This Row],[Spesa totale per ogni utente ]]/Tab_valori[[#This Row],[Membri della Famiglia]]</f>
        <v>556.66666666666663</v>
      </c>
      <c r="H259" s="2" t="s">
        <v>127</v>
      </c>
      <c r="I259" s="4">
        <v>34517</v>
      </c>
      <c r="J259" s="2">
        <v>3</v>
      </c>
      <c r="K259" s="2">
        <v>1</v>
      </c>
      <c r="L259" s="2">
        <v>6</v>
      </c>
      <c r="M259" s="2" t="s">
        <v>17</v>
      </c>
      <c r="N259" s="2" t="s">
        <v>16</v>
      </c>
      <c r="O259" s="2" t="s">
        <v>17</v>
      </c>
      <c r="U259" t="str">
        <f>IF(AND(Tab_valori[[#This Row],[Valutazione]]=5,Tab_valori[[#This Row],[Valutazione sull''attenzione all''ambiente della città]]=10),Tab_valori[[#This Row],[Città Airbnb]],"-")</f>
        <v>-</v>
      </c>
    </row>
    <row r="260" spans="1:21" x14ac:dyDescent="0.2">
      <c r="A260" s="2">
        <v>3823</v>
      </c>
      <c r="B260" s="2" t="s">
        <v>555</v>
      </c>
      <c r="C260" s="2" t="s">
        <v>556</v>
      </c>
      <c r="D260" s="3">
        <v>128</v>
      </c>
      <c r="E260" s="2">
        <v>3</v>
      </c>
      <c r="F260" s="3">
        <f>Tab_valori[[#This Row],[Costo a Notte (€)]]*Tab_valori[[#This Row],[Numero Notti]]</f>
        <v>384</v>
      </c>
      <c r="G260" s="3">
        <f>Tab_valori[[#This Row],[Spesa totale per ogni utente ]]/Tab_valori[[#This Row],[Membri della Famiglia]]</f>
        <v>76.8</v>
      </c>
      <c r="H260" s="2" t="s">
        <v>20</v>
      </c>
      <c r="I260" s="4">
        <v>23835</v>
      </c>
      <c r="J260" s="2">
        <v>5</v>
      </c>
      <c r="K260" s="2">
        <v>5</v>
      </c>
      <c r="L260" s="2">
        <v>3</v>
      </c>
      <c r="M260" s="2" t="s">
        <v>16</v>
      </c>
      <c r="N260" s="2" t="s">
        <v>16</v>
      </c>
      <c r="O260" s="2" t="s">
        <v>17</v>
      </c>
      <c r="U260" t="str">
        <f>IF(AND(Tab_valori[[#This Row],[Valutazione]]=5,Tab_valori[[#This Row],[Valutazione sull''attenzione all''ambiente della città]]=10),Tab_valori[[#This Row],[Città Airbnb]],"-")</f>
        <v>-</v>
      </c>
    </row>
    <row r="261" spans="1:21" x14ac:dyDescent="0.2">
      <c r="A261" s="2">
        <v>3658</v>
      </c>
      <c r="B261" s="2" t="s">
        <v>557</v>
      </c>
      <c r="C261" s="2" t="s">
        <v>558</v>
      </c>
      <c r="D261" s="3">
        <v>75</v>
      </c>
      <c r="E261" s="2">
        <v>7</v>
      </c>
      <c r="F261" s="3">
        <f>Tab_valori[[#This Row],[Costo a Notte (€)]]*Tab_valori[[#This Row],[Numero Notti]]</f>
        <v>525</v>
      </c>
      <c r="G261" s="3">
        <f>Tab_valori[[#This Row],[Spesa totale per ogni utente ]]/Tab_valori[[#This Row],[Membri della Famiglia]]</f>
        <v>131.25</v>
      </c>
      <c r="H261" s="2" t="s">
        <v>48</v>
      </c>
      <c r="I261" s="4">
        <v>27164</v>
      </c>
      <c r="J261" s="2">
        <v>4</v>
      </c>
      <c r="K261" s="2">
        <v>4</v>
      </c>
      <c r="L261" s="2">
        <v>2</v>
      </c>
      <c r="M261" s="2" t="s">
        <v>17</v>
      </c>
      <c r="N261" s="2" t="s">
        <v>16</v>
      </c>
      <c r="O261" s="2" t="s">
        <v>16</v>
      </c>
      <c r="U261" t="str">
        <f>IF(AND(Tab_valori[[#This Row],[Valutazione]]=5,Tab_valori[[#This Row],[Valutazione sull''attenzione all''ambiente della città]]=10),Tab_valori[[#This Row],[Città Airbnb]],"-")</f>
        <v>-</v>
      </c>
    </row>
    <row r="262" spans="1:21" x14ac:dyDescent="0.2">
      <c r="A262" s="2">
        <v>4246</v>
      </c>
      <c r="B262" s="2" t="s">
        <v>559</v>
      </c>
      <c r="C262" s="2" t="s">
        <v>560</v>
      </c>
      <c r="D262" s="3">
        <v>198</v>
      </c>
      <c r="E262" s="2">
        <v>1</v>
      </c>
      <c r="F262" s="3">
        <f>Tab_valori[[#This Row],[Costo a Notte (€)]]*Tab_valori[[#This Row],[Numero Notti]]</f>
        <v>198</v>
      </c>
      <c r="G262" s="3">
        <f>Tab_valori[[#This Row],[Spesa totale per ogni utente ]]/Tab_valori[[#This Row],[Membri della Famiglia]]</f>
        <v>49.5</v>
      </c>
      <c r="H262" s="2" t="s">
        <v>40</v>
      </c>
      <c r="I262" s="4">
        <v>23506</v>
      </c>
      <c r="J262" s="2">
        <v>4</v>
      </c>
      <c r="K262" s="2">
        <v>2</v>
      </c>
      <c r="L262" s="2">
        <v>4</v>
      </c>
      <c r="M262" s="2" t="s">
        <v>16</v>
      </c>
      <c r="N262" s="2" t="s">
        <v>16</v>
      </c>
      <c r="O262" s="2" t="s">
        <v>17</v>
      </c>
      <c r="U262" t="str">
        <f>IF(AND(Tab_valori[[#This Row],[Valutazione]]=5,Tab_valori[[#This Row],[Valutazione sull''attenzione all''ambiente della città]]=10),Tab_valori[[#This Row],[Città Airbnb]],"-")</f>
        <v>-</v>
      </c>
    </row>
    <row r="263" spans="1:21" x14ac:dyDescent="0.2">
      <c r="A263" s="2">
        <v>2388</v>
      </c>
      <c r="B263" s="2" t="s">
        <v>561</v>
      </c>
      <c r="C263" s="2" t="s">
        <v>562</v>
      </c>
      <c r="D263" s="3">
        <v>23</v>
      </c>
      <c r="E263" s="2">
        <v>1</v>
      </c>
      <c r="F263" s="3">
        <f>Tab_valori[[#This Row],[Costo a Notte (€)]]*Tab_valori[[#This Row],[Numero Notti]]</f>
        <v>23</v>
      </c>
      <c r="G263" s="3">
        <f>Tab_valori[[#This Row],[Spesa totale per ogni utente ]]/Tab_valori[[#This Row],[Membri della Famiglia]]</f>
        <v>23</v>
      </c>
      <c r="H263" s="2" t="s">
        <v>40</v>
      </c>
      <c r="I263" s="4">
        <v>27363</v>
      </c>
      <c r="J263" s="2">
        <v>1</v>
      </c>
      <c r="K263" s="2">
        <v>1</v>
      </c>
      <c r="L263" s="2">
        <v>7</v>
      </c>
      <c r="M263" s="2" t="s">
        <v>16</v>
      </c>
      <c r="N263" s="2" t="s">
        <v>17</v>
      </c>
      <c r="O263" s="2" t="s">
        <v>16</v>
      </c>
      <c r="U263" t="str">
        <f>IF(AND(Tab_valori[[#This Row],[Valutazione]]=5,Tab_valori[[#This Row],[Valutazione sull''attenzione all''ambiente della città]]=10),Tab_valori[[#This Row],[Città Airbnb]],"-")</f>
        <v>-</v>
      </c>
    </row>
    <row r="264" spans="1:21" x14ac:dyDescent="0.2">
      <c r="A264" s="2">
        <v>2918</v>
      </c>
      <c r="B264" s="2" t="s">
        <v>563</v>
      </c>
      <c r="C264" s="2" t="s">
        <v>564</v>
      </c>
      <c r="D264" s="3">
        <v>208</v>
      </c>
      <c r="E264" s="2">
        <v>8</v>
      </c>
      <c r="F264" s="3">
        <f>Tab_valori[[#This Row],[Costo a Notte (€)]]*Tab_valori[[#This Row],[Numero Notti]]</f>
        <v>1664</v>
      </c>
      <c r="G264" s="3">
        <f>Tab_valori[[#This Row],[Spesa totale per ogni utente ]]/Tab_valori[[#This Row],[Membri della Famiglia]]</f>
        <v>332.8</v>
      </c>
      <c r="H264" s="2" t="s">
        <v>15</v>
      </c>
      <c r="I264" s="4">
        <v>29792</v>
      </c>
      <c r="J264" s="2">
        <v>5</v>
      </c>
      <c r="K264" s="2">
        <v>2</v>
      </c>
      <c r="L264" s="2">
        <v>2</v>
      </c>
      <c r="M264" s="2" t="s">
        <v>17</v>
      </c>
      <c r="N264" s="2" t="s">
        <v>16</v>
      </c>
      <c r="O264" s="2" t="s">
        <v>16</v>
      </c>
      <c r="U264" t="str">
        <f>IF(AND(Tab_valori[[#This Row],[Valutazione]]=5,Tab_valori[[#This Row],[Valutazione sull''attenzione all''ambiente della città]]=10),Tab_valori[[#This Row],[Città Airbnb]],"-")</f>
        <v>-</v>
      </c>
    </row>
    <row r="265" spans="1:21" x14ac:dyDescent="0.2">
      <c r="A265" s="2">
        <v>2631</v>
      </c>
      <c r="B265" s="2" t="s">
        <v>565</v>
      </c>
      <c r="C265" s="2" t="s">
        <v>566</v>
      </c>
      <c r="D265" s="3">
        <v>245</v>
      </c>
      <c r="E265" s="2">
        <v>9</v>
      </c>
      <c r="F265" s="3">
        <f>Tab_valori[[#This Row],[Costo a Notte (€)]]*Tab_valori[[#This Row],[Numero Notti]]</f>
        <v>2205</v>
      </c>
      <c r="G265" s="3">
        <f>Tab_valori[[#This Row],[Spesa totale per ogni utente ]]/Tab_valori[[#This Row],[Membri della Famiglia]]</f>
        <v>735</v>
      </c>
      <c r="H265" s="2" t="s">
        <v>137</v>
      </c>
      <c r="I265" s="4">
        <v>27960</v>
      </c>
      <c r="J265" s="2">
        <v>3</v>
      </c>
      <c r="K265" s="2">
        <v>5</v>
      </c>
      <c r="L265" s="2">
        <v>0</v>
      </c>
      <c r="M265" s="2" t="s">
        <v>17</v>
      </c>
      <c r="N265" s="2" t="s">
        <v>17</v>
      </c>
      <c r="O265" s="2" t="s">
        <v>17</v>
      </c>
      <c r="U265" t="str">
        <f>IF(AND(Tab_valori[[#This Row],[Valutazione]]=5,Tab_valori[[#This Row],[Valutazione sull''attenzione all''ambiente della città]]=10),Tab_valori[[#This Row],[Città Airbnb]],"-")</f>
        <v>-</v>
      </c>
    </row>
    <row r="266" spans="1:21" x14ac:dyDescent="0.2">
      <c r="A266" s="2">
        <v>4865</v>
      </c>
      <c r="B266" s="2" t="s">
        <v>567</v>
      </c>
      <c r="C266" s="2" t="s">
        <v>568</v>
      </c>
      <c r="D266" s="3">
        <v>99</v>
      </c>
      <c r="E266" s="2">
        <v>2</v>
      </c>
      <c r="F266" s="3">
        <f>Tab_valori[[#This Row],[Costo a Notte (€)]]*Tab_valori[[#This Row],[Numero Notti]]</f>
        <v>198</v>
      </c>
      <c r="G266" s="3">
        <f>Tab_valori[[#This Row],[Spesa totale per ogni utente ]]/Tab_valori[[#This Row],[Membri della Famiglia]]</f>
        <v>99</v>
      </c>
      <c r="H266" s="2" t="s">
        <v>29</v>
      </c>
      <c r="I266" s="4">
        <v>30006</v>
      </c>
      <c r="J266" s="2">
        <v>2</v>
      </c>
      <c r="K266" s="2">
        <v>2</v>
      </c>
      <c r="L266" s="2">
        <v>4</v>
      </c>
      <c r="M266" s="2" t="s">
        <v>17</v>
      </c>
      <c r="N266" s="2" t="s">
        <v>17</v>
      </c>
      <c r="O266" s="2" t="s">
        <v>16</v>
      </c>
      <c r="U266" t="str">
        <f>IF(AND(Tab_valori[[#This Row],[Valutazione]]=5,Tab_valori[[#This Row],[Valutazione sull''attenzione all''ambiente della città]]=10),Tab_valori[[#This Row],[Città Airbnb]],"-")</f>
        <v>-</v>
      </c>
    </row>
    <row r="267" spans="1:21" x14ac:dyDescent="0.2">
      <c r="A267" s="2">
        <v>2498</v>
      </c>
      <c r="B267" s="2" t="s">
        <v>569</v>
      </c>
      <c r="C267" s="2" t="s">
        <v>570</v>
      </c>
      <c r="D267" s="3">
        <v>173</v>
      </c>
      <c r="E267" s="2">
        <v>10</v>
      </c>
      <c r="F267" s="3">
        <f>Tab_valori[[#This Row],[Costo a Notte (€)]]*Tab_valori[[#This Row],[Numero Notti]]</f>
        <v>1730</v>
      </c>
      <c r="G267" s="3">
        <f>Tab_valori[[#This Row],[Spesa totale per ogni utente ]]/Tab_valori[[#This Row],[Membri della Famiglia]]</f>
        <v>432.5</v>
      </c>
      <c r="H267" s="2" t="s">
        <v>127</v>
      </c>
      <c r="I267" s="4">
        <v>23963</v>
      </c>
      <c r="J267" s="2">
        <v>4</v>
      </c>
      <c r="K267" s="2">
        <v>5</v>
      </c>
      <c r="L267" s="2">
        <v>10</v>
      </c>
      <c r="M267" s="2" t="s">
        <v>17</v>
      </c>
      <c r="N267" s="2" t="s">
        <v>17</v>
      </c>
      <c r="O267" s="2" t="s">
        <v>17</v>
      </c>
      <c r="U267" t="str">
        <f>IF(AND(Tab_valori[[#This Row],[Valutazione]]=5,Tab_valori[[#This Row],[Valutazione sull''attenzione all''ambiente della città]]=10),Tab_valori[[#This Row],[Città Airbnb]],"-")</f>
        <v>Tarma</v>
      </c>
    </row>
    <row r="268" spans="1:21" x14ac:dyDescent="0.2">
      <c r="A268" s="2">
        <v>4483</v>
      </c>
      <c r="B268" s="2" t="s">
        <v>571</v>
      </c>
      <c r="C268" s="2" t="s">
        <v>572</v>
      </c>
      <c r="D268" s="3">
        <v>20</v>
      </c>
      <c r="E268" s="2">
        <v>1</v>
      </c>
      <c r="F268" s="3">
        <f>Tab_valori[[#This Row],[Costo a Notte (€)]]*Tab_valori[[#This Row],[Numero Notti]]</f>
        <v>20</v>
      </c>
      <c r="G268" s="3">
        <f>Tab_valori[[#This Row],[Spesa totale per ogni utente ]]/Tab_valori[[#This Row],[Membri della Famiglia]]</f>
        <v>6.666666666666667</v>
      </c>
      <c r="H268" s="2" t="s">
        <v>127</v>
      </c>
      <c r="I268" s="4">
        <v>30109</v>
      </c>
      <c r="J268" s="2">
        <v>3</v>
      </c>
      <c r="K268" s="2">
        <v>3</v>
      </c>
      <c r="L268" s="2">
        <v>7</v>
      </c>
      <c r="M268" s="2" t="s">
        <v>17</v>
      </c>
      <c r="N268" s="2" t="s">
        <v>16</v>
      </c>
      <c r="O268" s="2" t="s">
        <v>16</v>
      </c>
      <c r="U268" t="str">
        <f>IF(AND(Tab_valori[[#This Row],[Valutazione]]=5,Tab_valori[[#This Row],[Valutazione sull''attenzione all''ambiente della città]]=10),Tab_valori[[#This Row],[Città Airbnb]],"-")</f>
        <v>-</v>
      </c>
    </row>
    <row r="269" spans="1:21" x14ac:dyDescent="0.2">
      <c r="A269" s="2">
        <v>4439</v>
      </c>
      <c r="B269" s="2" t="s">
        <v>573</v>
      </c>
      <c r="C269" s="2" t="s">
        <v>574</v>
      </c>
      <c r="D269" s="3">
        <v>189</v>
      </c>
      <c r="E269" s="2">
        <v>4</v>
      </c>
      <c r="F269" s="3">
        <f>Tab_valori[[#This Row],[Costo a Notte (€)]]*Tab_valori[[#This Row],[Numero Notti]]</f>
        <v>756</v>
      </c>
      <c r="G269" s="3">
        <f>Tab_valori[[#This Row],[Spesa totale per ogni utente ]]/Tab_valori[[#This Row],[Membri della Famiglia]]</f>
        <v>252</v>
      </c>
      <c r="H269" s="2" t="s">
        <v>194</v>
      </c>
      <c r="I269" s="4">
        <v>26803</v>
      </c>
      <c r="J269" s="2">
        <v>3</v>
      </c>
      <c r="K269" s="2">
        <v>5</v>
      </c>
      <c r="L269" s="2">
        <v>7</v>
      </c>
      <c r="M269" s="2" t="s">
        <v>17</v>
      </c>
      <c r="N269" s="2" t="s">
        <v>17</v>
      </c>
      <c r="O269" s="2" t="s">
        <v>17</v>
      </c>
      <c r="U269" t="str">
        <f>IF(AND(Tab_valori[[#This Row],[Valutazione]]=5,Tab_valori[[#This Row],[Valutazione sull''attenzione all''ambiente della città]]=10),Tab_valori[[#This Row],[Città Airbnb]],"-")</f>
        <v>-</v>
      </c>
    </row>
    <row r="270" spans="1:21" x14ac:dyDescent="0.2">
      <c r="A270" s="2">
        <v>3005</v>
      </c>
      <c r="B270" s="2" t="s">
        <v>575</v>
      </c>
      <c r="C270" s="2" t="s">
        <v>576</v>
      </c>
      <c r="D270" s="3">
        <v>218</v>
      </c>
      <c r="E270" s="2">
        <v>10</v>
      </c>
      <c r="F270" s="3">
        <f>Tab_valori[[#This Row],[Costo a Notte (€)]]*Tab_valori[[#This Row],[Numero Notti]]</f>
        <v>2180</v>
      </c>
      <c r="G270" s="3">
        <f>Tab_valori[[#This Row],[Spesa totale per ogni utente ]]/Tab_valori[[#This Row],[Membri della Famiglia]]</f>
        <v>363.33333333333331</v>
      </c>
      <c r="H270" s="2" t="s">
        <v>45</v>
      </c>
      <c r="I270" s="4">
        <v>31771</v>
      </c>
      <c r="J270" s="2">
        <v>6</v>
      </c>
      <c r="K270" s="2">
        <v>5</v>
      </c>
      <c r="L270" s="2">
        <v>7</v>
      </c>
      <c r="M270" s="2" t="s">
        <v>17</v>
      </c>
      <c r="N270" s="2" t="s">
        <v>16</v>
      </c>
      <c r="O270" s="2" t="s">
        <v>17</v>
      </c>
      <c r="U270" t="str">
        <f>IF(AND(Tab_valori[[#This Row],[Valutazione]]=5,Tab_valori[[#This Row],[Valutazione sull''attenzione all''ambiente della città]]=10),Tab_valori[[#This Row],[Città Airbnb]],"-")</f>
        <v>-</v>
      </c>
    </row>
    <row r="271" spans="1:21" x14ac:dyDescent="0.2">
      <c r="A271" s="2">
        <v>3151</v>
      </c>
      <c r="B271" s="2" t="s">
        <v>577</v>
      </c>
      <c r="C271" s="2" t="s">
        <v>578</v>
      </c>
      <c r="D271" s="3">
        <v>295</v>
      </c>
      <c r="E271" s="2">
        <v>8</v>
      </c>
      <c r="F271" s="3">
        <f>Tab_valori[[#This Row],[Costo a Notte (€)]]*Tab_valori[[#This Row],[Numero Notti]]</f>
        <v>2360</v>
      </c>
      <c r="G271" s="3">
        <f>Tab_valori[[#This Row],[Spesa totale per ogni utente ]]/Tab_valori[[#This Row],[Membri della Famiglia]]</f>
        <v>1180</v>
      </c>
      <c r="H271" s="2" t="s">
        <v>246</v>
      </c>
      <c r="I271" s="4">
        <v>32044</v>
      </c>
      <c r="J271" s="2">
        <v>2</v>
      </c>
      <c r="K271" s="2">
        <v>2</v>
      </c>
      <c r="L271" s="2">
        <v>6</v>
      </c>
      <c r="M271" s="2" t="s">
        <v>17</v>
      </c>
      <c r="N271" s="2" t="s">
        <v>16</v>
      </c>
      <c r="O271" s="2" t="s">
        <v>16</v>
      </c>
      <c r="U271" t="str">
        <f>IF(AND(Tab_valori[[#This Row],[Valutazione]]=5,Tab_valori[[#This Row],[Valutazione sull''attenzione all''ambiente della città]]=10),Tab_valori[[#This Row],[Città Airbnb]],"-")</f>
        <v>-</v>
      </c>
    </row>
    <row r="272" spans="1:21" x14ac:dyDescent="0.2">
      <c r="A272" s="2">
        <v>3728</v>
      </c>
      <c r="B272" s="2" t="s">
        <v>579</v>
      </c>
      <c r="C272" s="2" t="s">
        <v>353</v>
      </c>
      <c r="D272" s="3">
        <v>27</v>
      </c>
      <c r="E272" s="2">
        <v>1</v>
      </c>
      <c r="F272" s="3">
        <f>Tab_valori[[#This Row],[Costo a Notte (€)]]*Tab_valori[[#This Row],[Numero Notti]]</f>
        <v>27</v>
      </c>
      <c r="G272" s="3">
        <f>Tab_valori[[#This Row],[Spesa totale per ogni utente ]]/Tab_valori[[#This Row],[Membri della Famiglia]]</f>
        <v>27</v>
      </c>
      <c r="H272" s="2" t="s">
        <v>40</v>
      </c>
      <c r="I272" s="4">
        <v>28661</v>
      </c>
      <c r="J272" s="2">
        <v>1</v>
      </c>
      <c r="K272" s="2">
        <v>1</v>
      </c>
      <c r="L272" s="2">
        <v>1</v>
      </c>
      <c r="M272" s="2" t="s">
        <v>16</v>
      </c>
      <c r="N272" s="2" t="s">
        <v>17</v>
      </c>
      <c r="O272" s="2" t="s">
        <v>16</v>
      </c>
      <c r="U272" t="str">
        <f>IF(AND(Tab_valori[[#This Row],[Valutazione]]=5,Tab_valori[[#This Row],[Valutazione sull''attenzione all''ambiente della città]]=10),Tab_valori[[#This Row],[Città Airbnb]],"-")</f>
        <v>-</v>
      </c>
    </row>
    <row r="273" spans="1:21" x14ac:dyDescent="0.2">
      <c r="A273" s="2">
        <v>2966</v>
      </c>
      <c r="B273" s="2" t="s">
        <v>580</v>
      </c>
      <c r="C273" s="2" t="s">
        <v>581</v>
      </c>
      <c r="D273" s="3">
        <v>152</v>
      </c>
      <c r="E273" s="2">
        <v>9</v>
      </c>
      <c r="F273" s="3">
        <f>Tab_valori[[#This Row],[Costo a Notte (€)]]*Tab_valori[[#This Row],[Numero Notti]]</f>
        <v>1368</v>
      </c>
      <c r="G273" s="3">
        <f>Tab_valori[[#This Row],[Spesa totale per ogni utente ]]/Tab_valori[[#This Row],[Membri della Famiglia]]</f>
        <v>342</v>
      </c>
      <c r="H273" s="2" t="s">
        <v>291</v>
      </c>
      <c r="I273" s="4">
        <v>27245</v>
      </c>
      <c r="J273" s="2">
        <v>4</v>
      </c>
      <c r="K273" s="2">
        <v>2</v>
      </c>
      <c r="L273" s="2">
        <v>8</v>
      </c>
      <c r="M273" s="2" t="s">
        <v>16</v>
      </c>
      <c r="N273" s="2" t="s">
        <v>17</v>
      </c>
      <c r="O273" s="2" t="s">
        <v>16</v>
      </c>
      <c r="U273" t="str">
        <f>IF(AND(Tab_valori[[#This Row],[Valutazione]]=5,Tab_valori[[#This Row],[Valutazione sull''attenzione all''ambiente della città]]=10),Tab_valori[[#This Row],[Città Airbnb]],"-")</f>
        <v>-</v>
      </c>
    </row>
    <row r="274" spans="1:21" x14ac:dyDescent="0.2">
      <c r="A274" s="2">
        <v>4212</v>
      </c>
      <c r="B274" s="2" t="s">
        <v>582</v>
      </c>
      <c r="C274" s="2" t="s">
        <v>583</v>
      </c>
      <c r="D274" s="3">
        <v>210</v>
      </c>
      <c r="E274" s="2">
        <v>9</v>
      </c>
      <c r="F274" s="3">
        <f>Tab_valori[[#This Row],[Costo a Notte (€)]]*Tab_valori[[#This Row],[Numero Notti]]</f>
        <v>1890</v>
      </c>
      <c r="G274" s="3">
        <f>Tab_valori[[#This Row],[Spesa totale per ogni utente ]]/Tab_valori[[#This Row],[Membri della Famiglia]]</f>
        <v>472.5</v>
      </c>
      <c r="H274" s="2" t="s">
        <v>45</v>
      </c>
      <c r="I274" s="4">
        <v>28866</v>
      </c>
      <c r="J274" s="2">
        <v>4</v>
      </c>
      <c r="K274" s="2">
        <v>4</v>
      </c>
      <c r="L274" s="2">
        <v>2</v>
      </c>
      <c r="M274" s="2" t="s">
        <v>16</v>
      </c>
      <c r="N274" s="2" t="s">
        <v>17</v>
      </c>
      <c r="O274" s="2" t="s">
        <v>17</v>
      </c>
      <c r="U274" t="str">
        <f>IF(AND(Tab_valori[[#This Row],[Valutazione]]=5,Tab_valori[[#This Row],[Valutazione sull''attenzione all''ambiente della città]]=10),Tab_valori[[#This Row],[Città Airbnb]],"-")</f>
        <v>-</v>
      </c>
    </row>
    <row r="275" spans="1:21" x14ac:dyDescent="0.2">
      <c r="A275" s="2">
        <v>5380</v>
      </c>
      <c r="B275" s="2" t="s">
        <v>584</v>
      </c>
      <c r="C275" s="2" t="s">
        <v>585</v>
      </c>
      <c r="D275" s="3">
        <v>230</v>
      </c>
      <c r="E275" s="2">
        <v>5</v>
      </c>
      <c r="F275" s="3">
        <f>Tab_valori[[#This Row],[Costo a Notte (€)]]*Tab_valori[[#This Row],[Numero Notti]]</f>
        <v>1150</v>
      </c>
      <c r="G275" s="3">
        <f>Tab_valori[[#This Row],[Spesa totale per ogni utente ]]/Tab_valori[[#This Row],[Membri della Famiglia]]</f>
        <v>164.28571428571428</v>
      </c>
      <c r="H275" s="2" t="s">
        <v>23</v>
      </c>
      <c r="I275" s="4">
        <v>30050</v>
      </c>
      <c r="J275" s="2">
        <v>7</v>
      </c>
      <c r="K275" s="2">
        <v>3</v>
      </c>
      <c r="L275" s="2">
        <v>1</v>
      </c>
      <c r="M275" s="2" t="s">
        <v>16</v>
      </c>
      <c r="N275" s="2" t="s">
        <v>17</v>
      </c>
      <c r="O275" s="2" t="s">
        <v>16</v>
      </c>
      <c r="U275" t="str">
        <f>IF(AND(Tab_valori[[#This Row],[Valutazione]]=5,Tab_valori[[#This Row],[Valutazione sull''attenzione all''ambiente della città]]=10),Tab_valori[[#This Row],[Città Airbnb]],"-")</f>
        <v>-</v>
      </c>
    </row>
    <row r="276" spans="1:21" x14ac:dyDescent="0.2">
      <c r="A276" s="2">
        <v>2674</v>
      </c>
      <c r="B276" s="2" t="s">
        <v>586</v>
      </c>
      <c r="C276" s="2" t="s">
        <v>587</v>
      </c>
      <c r="D276" s="3">
        <v>257</v>
      </c>
      <c r="E276" s="2">
        <v>9</v>
      </c>
      <c r="F276" s="3">
        <f>Tab_valori[[#This Row],[Costo a Notte (€)]]*Tab_valori[[#This Row],[Numero Notti]]</f>
        <v>2313</v>
      </c>
      <c r="G276" s="3">
        <f>Tab_valori[[#This Row],[Spesa totale per ogni utente ]]/Tab_valori[[#This Row],[Membri della Famiglia]]</f>
        <v>771</v>
      </c>
      <c r="H276" s="2" t="s">
        <v>76</v>
      </c>
      <c r="I276" s="4">
        <v>29807</v>
      </c>
      <c r="J276" s="2">
        <v>3</v>
      </c>
      <c r="K276" s="2">
        <v>3</v>
      </c>
      <c r="L276" s="2">
        <v>7</v>
      </c>
      <c r="M276" s="2" t="s">
        <v>17</v>
      </c>
      <c r="N276" s="2" t="s">
        <v>17</v>
      </c>
      <c r="O276" s="2" t="s">
        <v>16</v>
      </c>
      <c r="U276" t="str">
        <f>IF(AND(Tab_valori[[#This Row],[Valutazione]]=5,Tab_valori[[#This Row],[Valutazione sull''attenzione all''ambiente della città]]=10),Tab_valori[[#This Row],[Città Airbnb]],"-")</f>
        <v>-</v>
      </c>
    </row>
    <row r="277" spans="1:21" x14ac:dyDescent="0.2">
      <c r="A277" s="2">
        <v>5325</v>
      </c>
      <c r="B277" s="2" t="s">
        <v>588</v>
      </c>
      <c r="C277" s="2" t="s">
        <v>589</v>
      </c>
      <c r="D277" s="3">
        <v>44</v>
      </c>
      <c r="E277" s="2">
        <v>2</v>
      </c>
      <c r="F277" s="3">
        <f>Tab_valori[[#This Row],[Costo a Notte (€)]]*Tab_valori[[#This Row],[Numero Notti]]</f>
        <v>88</v>
      </c>
      <c r="G277" s="3">
        <f>Tab_valori[[#This Row],[Spesa totale per ogni utente ]]/Tab_valori[[#This Row],[Membri della Famiglia]]</f>
        <v>17.600000000000001</v>
      </c>
      <c r="H277" s="2" t="s">
        <v>23</v>
      </c>
      <c r="I277" s="4">
        <v>29382</v>
      </c>
      <c r="J277" s="2">
        <v>5</v>
      </c>
      <c r="K277" s="2">
        <v>3</v>
      </c>
      <c r="L277" s="2">
        <v>9</v>
      </c>
      <c r="M277" s="2" t="s">
        <v>16</v>
      </c>
      <c r="N277" s="2" t="s">
        <v>17</v>
      </c>
      <c r="O277" s="2" t="s">
        <v>16</v>
      </c>
      <c r="U277" t="str">
        <f>IF(AND(Tab_valori[[#This Row],[Valutazione]]=5,Tab_valori[[#This Row],[Valutazione sull''attenzione all''ambiente della città]]=10),Tab_valori[[#This Row],[Città Airbnb]],"-")</f>
        <v>-</v>
      </c>
    </row>
    <row r="278" spans="1:21" x14ac:dyDescent="0.2">
      <c r="A278" s="2">
        <v>3422</v>
      </c>
      <c r="B278" s="2" t="s">
        <v>590</v>
      </c>
      <c r="C278" s="2" t="s">
        <v>591</v>
      </c>
      <c r="D278" s="3">
        <v>35</v>
      </c>
      <c r="E278" s="2">
        <v>2</v>
      </c>
      <c r="F278" s="3">
        <f>Tab_valori[[#This Row],[Costo a Notte (€)]]*Tab_valori[[#This Row],[Numero Notti]]</f>
        <v>70</v>
      </c>
      <c r="G278" s="3">
        <f>Tab_valori[[#This Row],[Spesa totale per ogni utente ]]/Tab_valori[[#This Row],[Membri della Famiglia]]</f>
        <v>35</v>
      </c>
      <c r="H278" s="2" t="s">
        <v>189</v>
      </c>
      <c r="I278" s="4">
        <v>27103</v>
      </c>
      <c r="J278" s="2">
        <v>2</v>
      </c>
      <c r="K278" s="2">
        <v>4</v>
      </c>
      <c r="L278" s="2">
        <v>7</v>
      </c>
      <c r="M278" s="2" t="s">
        <v>16</v>
      </c>
      <c r="N278" s="2" t="s">
        <v>17</v>
      </c>
      <c r="O278" s="2" t="s">
        <v>16</v>
      </c>
      <c r="U278" t="str">
        <f>IF(AND(Tab_valori[[#This Row],[Valutazione]]=5,Tab_valori[[#This Row],[Valutazione sull''attenzione all''ambiente della città]]=10),Tab_valori[[#This Row],[Città Airbnb]],"-")</f>
        <v>-</v>
      </c>
    </row>
    <row r="279" spans="1:21" x14ac:dyDescent="0.2">
      <c r="A279" s="2">
        <v>4516</v>
      </c>
      <c r="B279" s="2" t="s">
        <v>592</v>
      </c>
      <c r="C279" s="2" t="s">
        <v>593</v>
      </c>
      <c r="D279" s="3">
        <v>264</v>
      </c>
      <c r="E279" s="2">
        <v>8</v>
      </c>
      <c r="F279" s="3">
        <f>Tab_valori[[#This Row],[Costo a Notte (€)]]*Tab_valori[[#This Row],[Numero Notti]]</f>
        <v>2112</v>
      </c>
      <c r="G279" s="3">
        <f>Tab_valori[[#This Row],[Spesa totale per ogni utente ]]/Tab_valori[[#This Row],[Membri della Famiglia]]</f>
        <v>352</v>
      </c>
      <c r="H279" s="2" t="s">
        <v>194</v>
      </c>
      <c r="I279" s="4">
        <v>21820</v>
      </c>
      <c r="J279" s="2">
        <v>6</v>
      </c>
      <c r="K279" s="2">
        <v>4</v>
      </c>
      <c r="L279" s="2">
        <v>4</v>
      </c>
      <c r="M279" s="2" t="s">
        <v>17</v>
      </c>
      <c r="N279" s="2" t="s">
        <v>17</v>
      </c>
      <c r="O279" s="2" t="s">
        <v>16</v>
      </c>
      <c r="U279" t="str">
        <f>IF(AND(Tab_valori[[#This Row],[Valutazione]]=5,Tab_valori[[#This Row],[Valutazione sull''attenzione all''ambiente della città]]=10),Tab_valori[[#This Row],[Città Airbnb]],"-")</f>
        <v>-</v>
      </c>
    </row>
    <row r="280" spans="1:21" x14ac:dyDescent="0.2">
      <c r="A280" s="2">
        <v>3903</v>
      </c>
      <c r="B280" s="2" t="s">
        <v>594</v>
      </c>
      <c r="C280" s="2" t="s">
        <v>595</v>
      </c>
      <c r="D280" s="3">
        <v>70</v>
      </c>
      <c r="E280" s="2">
        <v>9</v>
      </c>
      <c r="F280" s="3">
        <f>Tab_valori[[#This Row],[Costo a Notte (€)]]*Tab_valori[[#This Row],[Numero Notti]]</f>
        <v>630</v>
      </c>
      <c r="G280" s="3">
        <f>Tab_valori[[#This Row],[Spesa totale per ogni utente ]]/Tab_valori[[#This Row],[Membri della Famiglia]]</f>
        <v>630</v>
      </c>
      <c r="H280" s="2" t="s">
        <v>246</v>
      </c>
      <c r="I280" s="4">
        <v>27535</v>
      </c>
      <c r="J280" s="2">
        <v>1</v>
      </c>
      <c r="K280" s="2">
        <v>2</v>
      </c>
      <c r="L280" s="2">
        <v>9</v>
      </c>
      <c r="M280" s="2" t="s">
        <v>17</v>
      </c>
      <c r="N280" s="2" t="s">
        <v>16</v>
      </c>
      <c r="O280" s="2" t="s">
        <v>16</v>
      </c>
      <c r="U280" t="str">
        <f>IF(AND(Tab_valori[[#This Row],[Valutazione]]=5,Tab_valori[[#This Row],[Valutazione sull''attenzione all''ambiente della città]]=10),Tab_valori[[#This Row],[Città Airbnb]],"-")</f>
        <v>-</v>
      </c>
    </row>
    <row r="281" spans="1:21" x14ac:dyDescent="0.2">
      <c r="A281" s="2">
        <v>3252</v>
      </c>
      <c r="B281" s="2" t="s">
        <v>596</v>
      </c>
      <c r="C281" s="2" t="s">
        <v>597</v>
      </c>
      <c r="D281" s="3">
        <v>78</v>
      </c>
      <c r="E281" s="2">
        <v>4</v>
      </c>
      <c r="F281" s="3">
        <f>Tab_valori[[#This Row],[Costo a Notte (€)]]*Tab_valori[[#This Row],[Numero Notti]]</f>
        <v>312</v>
      </c>
      <c r="G281" s="3">
        <f>Tab_valori[[#This Row],[Spesa totale per ogni utente ]]/Tab_valori[[#This Row],[Membri della Famiglia]]</f>
        <v>44.571428571428569</v>
      </c>
      <c r="H281" s="2" t="s">
        <v>124</v>
      </c>
      <c r="I281" s="4">
        <v>23465</v>
      </c>
      <c r="J281" s="2">
        <v>7</v>
      </c>
      <c r="K281" s="2">
        <v>3</v>
      </c>
      <c r="L281" s="2">
        <v>10</v>
      </c>
      <c r="M281" s="2" t="s">
        <v>17</v>
      </c>
      <c r="N281" s="2" t="s">
        <v>16</v>
      </c>
      <c r="O281" s="2" t="s">
        <v>16</v>
      </c>
      <c r="U281" t="str">
        <f>IF(AND(Tab_valori[[#This Row],[Valutazione]]=5,Tab_valori[[#This Row],[Valutazione sull''attenzione all''ambiente della città]]=10),Tab_valori[[#This Row],[Città Airbnb]],"-")</f>
        <v>-</v>
      </c>
    </row>
    <row r="282" spans="1:21" x14ac:dyDescent="0.2">
      <c r="A282" s="2">
        <v>2608</v>
      </c>
      <c r="B282" s="2" t="s">
        <v>598</v>
      </c>
      <c r="C282" s="2" t="s">
        <v>377</v>
      </c>
      <c r="D282" s="3">
        <v>231</v>
      </c>
      <c r="E282" s="2">
        <v>7</v>
      </c>
      <c r="F282" s="3">
        <f>Tab_valori[[#This Row],[Costo a Notte (€)]]*Tab_valori[[#This Row],[Numero Notti]]</f>
        <v>1617</v>
      </c>
      <c r="G282" s="3">
        <f>Tab_valori[[#This Row],[Spesa totale per ogni utente ]]/Tab_valori[[#This Row],[Membri della Famiglia]]</f>
        <v>323.39999999999998</v>
      </c>
      <c r="H282" s="2" t="s">
        <v>34</v>
      </c>
      <c r="I282" s="4">
        <v>22918</v>
      </c>
      <c r="J282" s="2">
        <v>5</v>
      </c>
      <c r="K282" s="2">
        <v>5</v>
      </c>
      <c r="L282" s="2">
        <v>9</v>
      </c>
      <c r="M282" s="2" t="s">
        <v>17</v>
      </c>
      <c r="N282" s="2" t="s">
        <v>16</v>
      </c>
      <c r="O282" s="2" t="s">
        <v>17</v>
      </c>
      <c r="U282" t="str">
        <f>IF(AND(Tab_valori[[#This Row],[Valutazione]]=5,Tab_valori[[#This Row],[Valutazione sull''attenzione all''ambiente della città]]=10),Tab_valori[[#This Row],[Città Airbnb]],"-")</f>
        <v>-</v>
      </c>
    </row>
    <row r="283" spans="1:21" x14ac:dyDescent="0.2">
      <c r="A283" s="2">
        <v>4418</v>
      </c>
      <c r="B283" s="2" t="s">
        <v>599</v>
      </c>
      <c r="C283" s="2" t="s">
        <v>293</v>
      </c>
      <c r="D283" s="3">
        <v>277</v>
      </c>
      <c r="E283" s="2">
        <v>7</v>
      </c>
      <c r="F283" s="3">
        <f>Tab_valori[[#This Row],[Costo a Notte (€)]]*Tab_valori[[#This Row],[Numero Notti]]</f>
        <v>1939</v>
      </c>
      <c r="G283" s="3">
        <f>Tab_valori[[#This Row],[Spesa totale per ogni utente ]]/Tab_valori[[#This Row],[Membri della Famiglia]]</f>
        <v>323.16666666666669</v>
      </c>
      <c r="H283" s="2" t="s">
        <v>147</v>
      </c>
      <c r="I283" s="4">
        <v>28950</v>
      </c>
      <c r="J283" s="2">
        <v>6</v>
      </c>
      <c r="K283" s="2">
        <v>1</v>
      </c>
      <c r="L283" s="2">
        <v>8</v>
      </c>
      <c r="M283" s="2" t="s">
        <v>16</v>
      </c>
      <c r="N283" s="2" t="s">
        <v>16</v>
      </c>
      <c r="O283" s="2" t="s">
        <v>16</v>
      </c>
      <c r="U283" t="str">
        <f>IF(AND(Tab_valori[[#This Row],[Valutazione]]=5,Tab_valori[[#This Row],[Valutazione sull''attenzione all''ambiente della città]]=10),Tab_valori[[#This Row],[Città Airbnb]],"-")</f>
        <v>-</v>
      </c>
    </row>
    <row r="284" spans="1:21" x14ac:dyDescent="0.2">
      <c r="A284" s="2">
        <v>4616</v>
      </c>
      <c r="B284" s="2" t="s">
        <v>600</v>
      </c>
      <c r="C284" s="2" t="s">
        <v>601</v>
      </c>
      <c r="D284" s="3">
        <v>213</v>
      </c>
      <c r="E284" s="2">
        <v>5</v>
      </c>
      <c r="F284" s="3">
        <f>Tab_valori[[#This Row],[Costo a Notte (€)]]*Tab_valori[[#This Row],[Numero Notti]]</f>
        <v>1065</v>
      </c>
      <c r="G284" s="3">
        <f>Tab_valori[[#This Row],[Spesa totale per ogni utente ]]/Tab_valori[[#This Row],[Membri della Famiglia]]</f>
        <v>177.5</v>
      </c>
      <c r="H284" s="2" t="s">
        <v>291</v>
      </c>
      <c r="I284" s="4">
        <v>30858</v>
      </c>
      <c r="J284" s="2">
        <v>6</v>
      </c>
      <c r="K284" s="2">
        <v>1</v>
      </c>
      <c r="L284" s="2">
        <v>3</v>
      </c>
      <c r="M284" s="2" t="s">
        <v>17</v>
      </c>
      <c r="N284" s="2" t="s">
        <v>17</v>
      </c>
      <c r="O284" s="2" t="s">
        <v>16</v>
      </c>
      <c r="U284" t="str">
        <f>IF(AND(Tab_valori[[#This Row],[Valutazione]]=5,Tab_valori[[#This Row],[Valutazione sull''attenzione all''ambiente della città]]=10),Tab_valori[[#This Row],[Città Airbnb]],"-")</f>
        <v>-</v>
      </c>
    </row>
    <row r="285" spans="1:21" x14ac:dyDescent="0.2">
      <c r="A285" s="2">
        <v>2841</v>
      </c>
      <c r="B285" s="2" t="s">
        <v>602</v>
      </c>
      <c r="C285" s="2" t="s">
        <v>603</v>
      </c>
      <c r="D285" s="3">
        <v>256</v>
      </c>
      <c r="E285" s="2">
        <v>2</v>
      </c>
      <c r="F285" s="3">
        <f>Tab_valori[[#This Row],[Costo a Notte (€)]]*Tab_valori[[#This Row],[Numero Notti]]</f>
        <v>512</v>
      </c>
      <c r="G285" s="3">
        <f>Tab_valori[[#This Row],[Spesa totale per ogni utente ]]/Tab_valori[[#This Row],[Membri della Famiglia]]</f>
        <v>256</v>
      </c>
      <c r="H285" s="2" t="s">
        <v>184</v>
      </c>
      <c r="I285" s="4">
        <v>30650</v>
      </c>
      <c r="J285" s="2">
        <v>2</v>
      </c>
      <c r="K285" s="2">
        <v>3</v>
      </c>
      <c r="L285" s="2">
        <v>0</v>
      </c>
      <c r="M285" s="2" t="s">
        <v>16</v>
      </c>
      <c r="N285" s="2" t="s">
        <v>16</v>
      </c>
      <c r="O285" s="2" t="s">
        <v>16</v>
      </c>
      <c r="U285" t="str">
        <f>IF(AND(Tab_valori[[#This Row],[Valutazione]]=5,Tab_valori[[#This Row],[Valutazione sull''attenzione all''ambiente della città]]=10),Tab_valori[[#This Row],[Città Airbnb]],"-")</f>
        <v>-</v>
      </c>
    </row>
    <row r="286" spans="1:21" x14ac:dyDescent="0.2">
      <c r="A286" s="2">
        <v>2845</v>
      </c>
      <c r="B286" s="2" t="s">
        <v>604</v>
      </c>
      <c r="C286" s="2" t="s">
        <v>605</v>
      </c>
      <c r="D286" s="3">
        <v>176</v>
      </c>
      <c r="E286" s="2">
        <v>10</v>
      </c>
      <c r="F286" s="3">
        <f>Tab_valori[[#This Row],[Costo a Notte (€)]]*Tab_valori[[#This Row],[Numero Notti]]</f>
        <v>1760</v>
      </c>
      <c r="G286" s="3">
        <f>Tab_valori[[#This Row],[Spesa totale per ogni utente ]]/Tab_valori[[#This Row],[Membri della Famiglia]]</f>
        <v>880</v>
      </c>
      <c r="H286" s="2" t="s">
        <v>94</v>
      </c>
      <c r="I286" s="4">
        <v>24906</v>
      </c>
      <c r="J286" s="2">
        <v>2</v>
      </c>
      <c r="K286" s="2">
        <v>4</v>
      </c>
      <c r="L286" s="2">
        <v>0</v>
      </c>
      <c r="M286" s="2" t="s">
        <v>16</v>
      </c>
      <c r="N286" s="2" t="s">
        <v>16</v>
      </c>
      <c r="O286" s="2" t="s">
        <v>16</v>
      </c>
      <c r="U286" t="str">
        <f>IF(AND(Tab_valori[[#This Row],[Valutazione]]=5,Tab_valori[[#This Row],[Valutazione sull''attenzione all''ambiente della città]]=10),Tab_valori[[#This Row],[Città Airbnb]],"-")</f>
        <v>-</v>
      </c>
    </row>
    <row r="287" spans="1:21" x14ac:dyDescent="0.2">
      <c r="A287" s="2">
        <v>3873</v>
      </c>
      <c r="B287" s="2" t="s">
        <v>606</v>
      </c>
      <c r="C287" s="2" t="s">
        <v>607</v>
      </c>
      <c r="D287" s="3">
        <v>241</v>
      </c>
      <c r="E287" s="2">
        <v>1</v>
      </c>
      <c r="F287" s="3">
        <f>Tab_valori[[#This Row],[Costo a Notte (€)]]*Tab_valori[[#This Row],[Numero Notti]]</f>
        <v>241</v>
      </c>
      <c r="G287" s="3">
        <f>Tab_valori[[#This Row],[Spesa totale per ogni utente ]]/Tab_valori[[#This Row],[Membri della Famiglia]]</f>
        <v>60.25</v>
      </c>
      <c r="H287" s="2" t="s">
        <v>76</v>
      </c>
      <c r="I287" s="4">
        <v>30881</v>
      </c>
      <c r="J287" s="2">
        <v>4</v>
      </c>
      <c r="K287" s="2">
        <v>4</v>
      </c>
      <c r="L287" s="2">
        <v>5</v>
      </c>
      <c r="M287" s="2" t="s">
        <v>17</v>
      </c>
      <c r="N287" s="2" t="s">
        <v>17</v>
      </c>
      <c r="O287" s="2" t="s">
        <v>16</v>
      </c>
      <c r="U287" t="str">
        <f>IF(AND(Tab_valori[[#This Row],[Valutazione]]=5,Tab_valori[[#This Row],[Valutazione sull''attenzione all''ambiente della città]]=10),Tab_valori[[#This Row],[Città Airbnb]],"-")</f>
        <v>-</v>
      </c>
    </row>
    <row r="288" spans="1:21" x14ac:dyDescent="0.2">
      <c r="A288" s="2">
        <v>2503</v>
      </c>
      <c r="B288" s="2" t="s">
        <v>608</v>
      </c>
      <c r="C288" s="2" t="s">
        <v>609</v>
      </c>
      <c r="D288" s="3">
        <v>293</v>
      </c>
      <c r="E288" s="2">
        <v>5</v>
      </c>
      <c r="F288" s="3">
        <f>Tab_valori[[#This Row],[Costo a Notte (€)]]*Tab_valori[[#This Row],[Numero Notti]]</f>
        <v>1465</v>
      </c>
      <c r="G288" s="3">
        <f>Tab_valori[[#This Row],[Spesa totale per ogni utente ]]/Tab_valori[[#This Row],[Membri della Famiglia]]</f>
        <v>488.33333333333331</v>
      </c>
      <c r="H288" s="2" t="s">
        <v>45</v>
      </c>
      <c r="I288" s="4">
        <v>23941</v>
      </c>
      <c r="J288" s="2">
        <v>3</v>
      </c>
      <c r="K288" s="2">
        <v>3</v>
      </c>
      <c r="L288" s="2">
        <v>8</v>
      </c>
      <c r="M288" s="2" t="s">
        <v>16</v>
      </c>
      <c r="N288" s="2" t="s">
        <v>17</v>
      </c>
      <c r="O288" s="2" t="s">
        <v>16</v>
      </c>
      <c r="U288" t="str">
        <f>IF(AND(Tab_valori[[#This Row],[Valutazione]]=5,Tab_valori[[#This Row],[Valutazione sull''attenzione all''ambiente della città]]=10),Tab_valori[[#This Row],[Città Airbnb]],"-")</f>
        <v>-</v>
      </c>
    </row>
    <row r="289" spans="1:21" x14ac:dyDescent="0.2">
      <c r="A289" s="2">
        <v>4599</v>
      </c>
      <c r="B289" s="2" t="s">
        <v>610</v>
      </c>
      <c r="C289" s="2" t="s">
        <v>611</v>
      </c>
      <c r="D289" s="3">
        <v>224</v>
      </c>
      <c r="E289" s="2">
        <v>5</v>
      </c>
      <c r="F289" s="3">
        <f>Tab_valori[[#This Row],[Costo a Notte (€)]]*Tab_valori[[#This Row],[Numero Notti]]</f>
        <v>1120</v>
      </c>
      <c r="G289" s="3">
        <f>Tab_valori[[#This Row],[Spesa totale per ogni utente ]]/Tab_valori[[#This Row],[Membri della Famiglia]]</f>
        <v>280</v>
      </c>
      <c r="H289" s="2" t="s">
        <v>179</v>
      </c>
      <c r="I289" s="4">
        <v>21182</v>
      </c>
      <c r="J289" s="2">
        <v>4</v>
      </c>
      <c r="K289" s="2">
        <v>5</v>
      </c>
      <c r="L289" s="2">
        <v>9</v>
      </c>
      <c r="M289" s="2" t="s">
        <v>17</v>
      </c>
      <c r="N289" s="2" t="s">
        <v>17</v>
      </c>
      <c r="O289" s="2" t="s">
        <v>17</v>
      </c>
      <c r="U289" t="str">
        <f>IF(AND(Tab_valori[[#This Row],[Valutazione]]=5,Tab_valori[[#This Row],[Valutazione sull''attenzione all''ambiente della città]]=10),Tab_valori[[#This Row],[Città Airbnb]],"-")</f>
        <v>-</v>
      </c>
    </row>
    <row r="290" spans="1:21" x14ac:dyDescent="0.2">
      <c r="A290" s="2">
        <v>4454</v>
      </c>
      <c r="B290" s="2" t="s">
        <v>612</v>
      </c>
      <c r="C290" s="2" t="s">
        <v>613</v>
      </c>
      <c r="D290" s="3">
        <v>26</v>
      </c>
      <c r="E290" s="2">
        <v>4</v>
      </c>
      <c r="F290" s="3">
        <f>Tab_valori[[#This Row],[Costo a Notte (€)]]*Tab_valori[[#This Row],[Numero Notti]]</f>
        <v>104</v>
      </c>
      <c r="G290" s="3">
        <f>Tab_valori[[#This Row],[Spesa totale per ogni utente ]]/Tab_valori[[#This Row],[Membri della Famiglia]]</f>
        <v>52</v>
      </c>
      <c r="H290" s="2" t="s">
        <v>184</v>
      </c>
      <c r="I290" s="4">
        <v>28033</v>
      </c>
      <c r="J290" s="2">
        <v>2</v>
      </c>
      <c r="K290" s="2">
        <v>4</v>
      </c>
      <c r="L290" s="2">
        <v>5</v>
      </c>
      <c r="M290" s="2" t="s">
        <v>16</v>
      </c>
      <c r="N290" s="2" t="s">
        <v>17</v>
      </c>
      <c r="O290" s="2" t="s">
        <v>16</v>
      </c>
      <c r="U290" t="str">
        <f>IF(AND(Tab_valori[[#This Row],[Valutazione]]=5,Tab_valori[[#This Row],[Valutazione sull''attenzione all''ambiente della città]]=10),Tab_valori[[#This Row],[Città Airbnb]],"-")</f>
        <v>-</v>
      </c>
    </row>
    <row r="291" spans="1:21" x14ac:dyDescent="0.2">
      <c r="A291" s="2">
        <v>5102</v>
      </c>
      <c r="B291" s="2" t="s">
        <v>614</v>
      </c>
      <c r="C291" s="2" t="s">
        <v>615</v>
      </c>
      <c r="D291" s="3">
        <v>175</v>
      </c>
      <c r="E291" s="2">
        <v>1</v>
      </c>
      <c r="F291" s="3">
        <f>Tab_valori[[#This Row],[Costo a Notte (€)]]*Tab_valori[[#This Row],[Numero Notti]]</f>
        <v>175</v>
      </c>
      <c r="G291" s="3">
        <f>Tab_valori[[#This Row],[Spesa totale per ogni utente ]]/Tab_valori[[#This Row],[Membri della Famiglia]]</f>
        <v>58.333333333333336</v>
      </c>
      <c r="H291" s="2" t="s">
        <v>48</v>
      </c>
      <c r="I291" s="4">
        <v>21149</v>
      </c>
      <c r="J291" s="2">
        <v>3</v>
      </c>
      <c r="K291" s="2">
        <v>3</v>
      </c>
      <c r="L291" s="2">
        <v>8</v>
      </c>
      <c r="M291" s="2" t="s">
        <v>17</v>
      </c>
      <c r="N291" s="2" t="s">
        <v>16</v>
      </c>
      <c r="O291" s="2" t="s">
        <v>17</v>
      </c>
      <c r="U291" t="str">
        <f>IF(AND(Tab_valori[[#This Row],[Valutazione]]=5,Tab_valori[[#This Row],[Valutazione sull''attenzione all''ambiente della città]]=10),Tab_valori[[#This Row],[Città Airbnb]],"-")</f>
        <v>-</v>
      </c>
    </row>
    <row r="292" spans="1:21" x14ac:dyDescent="0.2">
      <c r="A292" s="2">
        <v>3755</v>
      </c>
      <c r="B292" s="2" t="s">
        <v>616</v>
      </c>
      <c r="C292" s="2" t="s">
        <v>617</v>
      </c>
      <c r="D292" s="3">
        <v>157</v>
      </c>
      <c r="E292" s="2">
        <v>4</v>
      </c>
      <c r="F292" s="3">
        <f>Tab_valori[[#This Row],[Costo a Notte (€)]]*Tab_valori[[#This Row],[Numero Notti]]</f>
        <v>628</v>
      </c>
      <c r="G292" s="3">
        <f>Tab_valori[[#This Row],[Spesa totale per ogni utente ]]/Tab_valori[[#This Row],[Membri della Famiglia]]</f>
        <v>125.6</v>
      </c>
      <c r="H292" s="2" t="s">
        <v>20</v>
      </c>
      <c r="I292" s="4">
        <v>32408</v>
      </c>
      <c r="J292" s="2">
        <v>5</v>
      </c>
      <c r="K292" s="2">
        <v>5</v>
      </c>
      <c r="L292" s="2">
        <v>2</v>
      </c>
      <c r="M292" s="2" t="s">
        <v>17</v>
      </c>
      <c r="N292" s="2" t="s">
        <v>17</v>
      </c>
      <c r="O292" s="2" t="s">
        <v>16</v>
      </c>
      <c r="U292" t="str">
        <f>IF(AND(Tab_valori[[#This Row],[Valutazione]]=5,Tab_valori[[#This Row],[Valutazione sull''attenzione all''ambiente della città]]=10),Tab_valori[[#This Row],[Città Airbnb]],"-")</f>
        <v>-</v>
      </c>
    </row>
    <row r="293" spans="1:21" x14ac:dyDescent="0.2">
      <c r="A293" s="2">
        <v>2798</v>
      </c>
      <c r="B293" s="2" t="s">
        <v>618</v>
      </c>
      <c r="C293" s="2" t="s">
        <v>619</v>
      </c>
      <c r="D293" s="3">
        <v>277</v>
      </c>
      <c r="E293" s="2">
        <v>10</v>
      </c>
      <c r="F293" s="3">
        <f>Tab_valori[[#This Row],[Costo a Notte (€)]]*Tab_valori[[#This Row],[Numero Notti]]</f>
        <v>2770</v>
      </c>
      <c r="G293" s="3">
        <f>Tab_valori[[#This Row],[Spesa totale per ogni utente ]]/Tab_valori[[#This Row],[Membri della Famiglia]]</f>
        <v>692.5</v>
      </c>
      <c r="H293" s="2" t="s">
        <v>109</v>
      </c>
      <c r="I293" s="4">
        <v>22448</v>
      </c>
      <c r="J293" s="2">
        <v>4</v>
      </c>
      <c r="K293" s="2">
        <v>2</v>
      </c>
      <c r="L293" s="2">
        <v>1</v>
      </c>
      <c r="M293" s="2" t="s">
        <v>16</v>
      </c>
      <c r="N293" s="2" t="s">
        <v>16</v>
      </c>
      <c r="O293" s="2" t="s">
        <v>16</v>
      </c>
      <c r="U293" t="str">
        <f>IF(AND(Tab_valori[[#This Row],[Valutazione]]=5,Tab_valori[[#This Row],[Valutazione sull''attenzione all''ambiente della città]]=10),Tab_valori[[#This Row],[Città Airbnb]],"-")</f>
        <v>-</v>
      </c>
    </row>
    <row r="294" spans="1:21" x14ac:dyDescent="0.2">
      <c r="A294" s="2">
        <v>4710</v>
      </c>
      <c r="B294" s="2" t="s">
        <v>620</v>
      </c>
      <c r="C294" s="2" t="s">
        <v>621</v>
      </c>
      <c r="D294" s="3">
        <v>243</v>
      </c>
      <c r="E294" s="2">
        <v>7</v>
      </c>
      <c r="F294" s="3">
        <f>Tab_valori[[#This Row],[Costo a Notte (€)]]*Tab_valori[[#This Row],[Numero Notti]]</f>
        <v>1701</v>
      </c>
      <c r="G294" s="3">
        <f>Tab_valori[[#This Row],[Spesa totale per ogni utente ]]/Tab_valori[[#This Row],[Membri della Famiglia]]</f>
        <v>425.25</v>
      </c>
      <c r="H294" s="2" t="s">
        <v>29</v>
      </c>
      <c r="I294" s="4">
        <v>31919</v>
      </c>
      <c r="J294" s="2">
        <v>4</v>
      </c>
      <c r="K294" s="2">
        <v>1</v>
      </c>
      <c r="L294" s="2">
        <v>9</v>
      </c>
      <c r="M294" s="2" t="s">
        <v>16</v>
      </c>
      <c r="N294" s="2" t="s">
        <v>16</v>
      </c>
      <c r="O294" s="2" t="s">
        <v>17</v>
      </c>
      <c r="U294" t="str">
        <f>IF(AND(Tab_valori[[#This Row],[Valutazione]]=5,Tab_valori[[#This Row],[Valutazione sull''attenzione all''ambiente della città]]=10),Tab_valori[[#This Row],[Città Airbnb]],"-")</f>
        <v>-</v>
      </c>
    </row>
    <row r="295" spans="1:21" x14ac:dyDescent="0.2">
      <c r="A295" s="2">
        <v>2418</v>
      </c>
      <c r="B295" s="2" t="s">
        <v>622</v>
      </c>
      <c r="C295" s="2" t="s">
        <v>623</v>
      </c>
      <c r="D295" s="3">
        <v>33</v>
      </c>
      <c r="E295" s="2">
        <v>8</v>
      </c>
      <c r="F295" s="3">
        <f>Tab_valori[[#This Row],[Costo a Notte (€)]]*Tab_valori[[#This Row],[Numero Notti]]</f>
        <v>264</v>
      </c>
      <c r="G295" s="3">
        <f>Tab_valori[[#This Row],[Spesa totale per ogni utente ]]/Tab_valori[[#This Row],[Membri della Famiglia]]</f>
        <v>132</v>
      </c>
      <c r="H295" s="2" t="s">
        <v>130</v>
      </c>
      <c r="I295" s="4">
        <v>22343</v>
      </c>
      <c r="J295" s="2">
        <v>2</v>
      </c>
      <c r="K295" s="2">
        <v>5</v>
      </c>
      <c r="L295" s="2">
        <v>8</v>
      </c>
      <c r="M295" s="2" t="s">
        <v>16</v>
      </c>
      <c r="N295" s="2" t="s">
        <v>17</v>
      </c>
      <c r="O295" s="2" t="s">
        <v>16</v>
      </c>
      <c r="U295" t="str">
        <f>IF(AND(Tab_valori[[#This Row],[Valutazione]]=5,Tab_valori[[#This Row],[Valutazione sull''attenzione all''ambiente della città]]=10),Tab_valori[[#This Row],[Città Airbnb]],"-")</f>
        <v>-</v>
      </c>
    </row>
    <row r="296" spans="1:21" x14ac:dyDescent="0.2">
      <c r="A296" s="2">
        <v>4526</v>
      </c>
      <c r="B296" s="2" t="s">
        <v>624</v>
      </c>
      <c r="C296" s="2" t="s">
        <v>625</v>
      </c>
      <c r="D296" s="3">
        <v>129</v>
      </c>
      <c r="E296" s="2">
        <v>4</v>
      </c>
      <c r="F296" s="3">
        <f>Tab_valori[[#This Row],[Costo a Notte (€)]]*Tab_valori[[#This Row],[Numero Notti]]</f>
        <v>516</v>
      </c>
      <c r="G296" s="3">
        <f>Tab_valori[[#This Row],[Spesa totale per ogni utente ]]/Tab_valori[[#This Row],[Membri della Famiglia]]</f>
        <v>258</v>
      </c>
      <c r="H296" s="2" t="s">
        <v>127</v>
      </c>
      <c r="I296" s="4">
        <v>31662</v>
      </c>
      <c r="J296" s="2">
        <v>2</v>
      </c>
      <c r="K296" s="2">
        <v>2</v>
      </c>
      <c r="L296" s="2">
        <v>6</v>
      </c>
      <c r="M296" s="2" t="s">
        <v>17</v>
      </c>
      <c r="N296" s="2" t="s">
        <v>16</v>
      </c>
      <c r="O296" s="2" t="s">
        <v>17</v>
      </c>
      <c r="U296" t="str">
        <f>IF(AND(Tab_valori[[#This Row],[Valutazione]]=5,Tab_valori[[#This Row],[Valutazione sull''attenzione all''ambiente della città]]=10),Tab_valori[[#This Row],[Città Airbnb]],"-")</f>
        <v>-</v>
      </c>
    </row>
    <row r="297" spans="1:21" x14ac:dyDescent="0.2">
      <c r="A297" s="2">
        <v>2888</v>
      </c>
      <c r="B297" s="2" t="s">
        <v>626</v>
      </c>
      <c r="C297" s="2" t="s">
        <v>627</v>
      </c>
      <c r="D297" s="3">
        <v>157</v>
      </c>
      <c r="E297" s="2">
        <v>9</v>
      </c>
      <c r="F297" s="3">
        <f>Tab_valori[[#This Row],[Costo a Notte (€)]]*Tab_valori[[#This Row],[Numero Notti]]</f>
        <v>1413</v>
      </c>
      <c r="G297" s="3">
        <f>Tab_valori[[#This Row],[Spesa totale per ogni utente ]]/Tab_valori[[#This Row],[Membri della Famiglia]]</f>
        <v>201.85714285714286</v>
      </c>
      <c r="H297" s="2" t="s">
        <v>67</v>
      </c>
      <c r="I297" s="4">
        <v>32849</v>
      </c>
      <c r="J297" s="2">
        <v>7</v>
      </c>
      <c r="K297" s="2">
        <v>5</v>
      </c>
      <c r="L297" s="2">
        <v>2</v>
      </c>
      <c r="M297" s="2" t="s">
        <v>16</v>
      </c>
      <c r="N297" s="2" t="s">
        <v>17</v>
      </c>
      <c r="O297" s="2" t="s">
        <v>17</v>
      </c>
      <c r="U297" t="str">
        <f>IF(AND(Tab_valori[[#This Row],[Valutazione]]=5,Tab_valori[[#This Row],[Valutazione sull''attenzione all''ambiente della città]]=10),Tab_valori[[#This Row],[Città Airbnb]],"-")</f>
        <v>-</v>
      </c>
    </row>
    <row r="298" spans="1:21" x14ac:dyDescent="0.2">
      <c r="A298" s="2">
        <v>5041</v>
      </c>
      <c r="B298" s="2" t="s">
        <v>628</v>
      </c>
      <c r="C298" s="2" t="s">
        <v>111</v>
      </c>
      <c r="D298" s="3">
        <v>299</v>
      </c>
      <c r="E298" s="2">
        <v>1</v>
      </c>
      <c r="F298" s="3">
        <f>Tab_valori[[#This Row],[Costo a Notte (€)]]*Tab_valori[[#This Row],[Numero Notti]]</f>
        <v>299</v>
      </c>
      <c r="G298" s="3">
        <f>Tab_valori[[#This Row],[Spesa totale per ogni utente ]]/Tab_valori[[#This Row],[Membri della Famiglia]]</f>
        <v>42.714285714285715</v>
      </c>
      <c r="H298" s="2" t="s">
        <v>23</v>
      </c>
      <c r="I298" s="4">
        <v>27603</v>
      </c>
      <c r="J298" s="2">
        <v>7</v>
      </c>
      <c r="K298" s="2">
        <v>4</v>
      </c>
      <c r="L298" s="2">
        <v>10</v>
      </c>
      <c r="M298" s="2" t="s">
        <v>16</v>
      </c>
      <c r="N298" s="2" t="s">
        <v>16</v>
      </c>
      <c r="O298" s="2" t="s">
        <v>17</v>
      </c>
      <c r="U298" t="str">
        <f>IF(AND(Tab_valori[[#This Row],[Valutazione]]=5,Tab_valori[[#This Row],[Valutazione sull''attenzione all''ambiente della città]]=10),Tab_valori[[#This Row],[Città Airbnb]],"-")</f>
        <v>-</v>
      </c>
    </row>
    <row r="299" spans="1:21" x14ac:dyDescent="0.2">
      <c r="A299" s="2">
        <v>2370</v>
      </c>
      <c r="B299" s="2" t="s">
        <v>629</v>
      </c>
      <c r="C299" s="2" t="s">
        <v>630</v>
      </c>
      <c r="D299" s="3">
        <v>82</v>
      </c>
      <c r="E299" s="2">
        <v>5</v>
      </c>
      <c r="F299" s="3">
        <f>Tab_valori[[#This Row],[Costo a Notte (€)]]*Tab_valori[[#This Row],[Numero Notti]]</f>
        <v>410</v>
      </c>
      <c r="G299" s="3">
        <f>Tab_valori[[#This Row],[Spesa totale per ogni utente ]]/Tab_valori[[#This Row],[Membri della Famiglia]]</f>
        <v>68.333333333333329</v>
      </c>
      <c r="H299" s="2" t="s">
        <v>34</v>
      </c>
      <c r="I299" s="4">
        <v>34222</v>
      </c>
      <c r="J299" s="2">
        <v>6</v>
      </c>
      <c r="K299" s="2">
        <v>1</v>
      </c>
      <c r="L299" s="2">
        <v>6</v>
      </c>
      <c r="M299" s="2" t="s">
        <v>16</v>
      </c>
      <c r="N299" s="2" t="s">
        <v>17</v>
      </c>
      <c r="O299" s="2" t="s">
        <v>16</v>
      </c>
      <c r="U299" t="str">
        <f>IF(AND(Tab_valori[[#This Row],[Valutazione]]=5,Tab_valori[[#This Row],[Valutazione sull''attenzione all''ambiente della città]]=10),Tab_valori[[#This Row],[Città Airbnb]],"-")</f>
        <v>-</v>
      </c>
    </row>
    <row r="300" spans="1:21" x14ac:dyDescent="0.2">
      <c r="A300" s="2">
        <v>5169</v>
      </c>
      <c r="B300" s="2" t="s">
        <v>631</v>
      </c>
      <c r="C300" s="2" t="s">
        <v>632</v>
      </c>
      <c r="D300" s="3">
        <v>156</v>
      </c>
      <c r="E300" s="2">
        <v>5</v>
      </c>
      <c r="F300" s="3">
        <f>Tab_valori[[#This Row],[Costo a Notte (€)]]*Tab_valori[[#This Row],[Numero Notti]]</f>
        <v>780</v>
      </c>
      <c r="G300" s="3">
        <f>Tab_valori[[#This Row],[Spesa totale per ogni utente ]]/Tab_valori[[#This Row],[Membri della Famiglia]]</f>
        <v>780</v>
      </c>
      <c r="H300" s="2" t="s">
        <v>58</v>
      </c>
      <c r="I300" s="4">
        <v>26004</v>
      </c>
      <c r="J300" s="2">
        <v>1</v>
      </c>
      <c r="K300" s="2">
        <v>1</v>
      </c>
      <c r="L300" s="2">
        <v>2</v>
      </c>
      <c r="M300" s="2" t="s">
        <v>16</v>
      </c>
      <c r="N300" s="2" t="s">
        <v>17</v>
      </c>
      <c r="O300" s="2" t="s">
        <v>16</v>
      </c>
      <c r="U300" t="str">
        <f>IF(AND(Tab_valori[[#This Row],[Valutazione]]=5,Tab_valori[[#This Row],[Valutazione sull''attenzione all''ambiente della città]]=10),Tab_valori[[#This Row],[Città Airbnb]],"-")</f>
        <v>-</v>
      </c>
    </row>
    <row r="301" spans="1:21" x14ac:dyDescent="0.2">
      <c r="A301" s="2">
        <v>5286</v>
      </c>
      <c r="B301" s="2" t="s">
        <v>633</v>
      </c>
      <c r="C301" s="2" t="s">
        <v>634</v>
      </c>
      <c r="D301" s="3">
        <v>129</v>
      </c>
      <c r="E301" s="2">
        <v>7</v>
      </c>
      <c r="F301" s="3">
        <f>Tab_valori[[#This Row],[Costo a Notte (€)]]*Tab_valori[[#This Row],[Numero Notti]]</f>
        <v>903</v>
      </c>
      <c r="G301" s="3">
        <f>Tab_valori[[#This Row],[Spesa totale per ogni utente ]]/Tab_valori[[#This Row],[Membri della Famiglia]]</f>
        <v>129</v>
      </c>
      <c r="H301" s="2" t="s">
        <v>15</v>
      </c>
      <c r="I301" s="4">
        <v>26075</v>
      </c>
      <c r="J301" s="2">
        <v>7</v>
      </c>
      <c r="K301" s="2">
        <v>4</v>
      </c>
      <c r="L301" s="2">
        <v>10</v>
      </c>
      <c r="M301" s="2" t="s">
        <v>16</v>
      </c>
      <c r="N301" s="2" t="s">
        <v>16</v>
      </c>
      <c r="O301" s="2" t="s">
        <v>17</v>
      </c>
      <c r="U301" t="str">
        <f>IF(AND(Tab_valori[[#This Row],[Valutazione]]=5,Tab_valori[[#This Row],[Valutazione sull''attenzione all''ambiente della città]]=10),Tab_valori[[#This Row],[Città Airbnb]],"-")</f>
        <v>-</v>
      </c>
    </row>
  </sheetData>
  <sortState xmlns:xlrd2="http://schemas.microsoft.com/office/spreadsheetml/2017/richdata2" ref="T2:T37">
    <sortCondition ref="T2:T37"/>
  </sortState>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13D9A-F7CB-7042-AFC5-D634765B8B0F}">
  <sheetPr>
    <tabColor theme="3" tint="0.89999084444715716"/>
  </sheetPr>
  <dimension ref="A1:C18"/>
  <sheetViews>
    <sheetView zoomScale="92" workbookViewId="0">
      <selection activeCell="C19" sqref="C19"/>
    </sheetView>
  </sheetViews>
  <sheetFormatPr baseColWidth="10" defaultRowHeight="16" x14ac:dyDescent="0.2"/>
  <cols>
    <col min="1" max="1" width="138.33203125" bestFit="1" customWidth="1"/>
    <col min="2" max="2" width="32.5" customWidth="1"/>
    <col min="3" max="3" width="83.83203125" customWidth="1"/>
  </cols>
  <sheetData>
    <row r="1" spans="1:3" x14ac:dyDescent="0.2">
      <c r="A1" s="6" t="s">
        <v>635</v>
      </c>
      <c r="B1" s="6" t="s">
        <v>636</v>
      </c>
      <c r="C1" s="6" t="s">
        <v>637</v>
      </c>
    </row>
    <row r="2" spans="1:3" ht="45" x14ac:dyDescent="0.2">
      <c r="A2" s="7" t="s">
        <v>638</v>
      </c>
      <c r="B2" s="32">
        <v>300</v>
      </c>
      <c r="C2" s="10" t="s">
        <v>653</v>
      </c>
    </row>
    <row r="3" spans="1:3" ht="60" x14ac:dyDescent="0.2">
      <c r="A3" s="7" t="s">
        <v>639</v>
      </c>
      <c r="B3" s="32">
        <v>289</v>
      </c>
      <c r="C3" s="10" t="s">
        <v>656</v>
      </c>
    </row>
    <row r="4" spans="1:3" ht="60" x14ac:dyDescent="0.2">
      <c r="A4" s="7" t="s">
        <v>640</v>
      </c>
      <c r="B4" s="32">
        <v>297</v>
      </c>
      <c r="C4" s="10" t="s">
        <v>657</v>
      </c>
    </row>
    <row r="5" spans="1:3" ht="30" x14ac:dyDescent="0.2">
      <c r="A5" s="7" t="s">
        <v>641</v>
      </c>
      <c r="B5" s="32">
        <v>4</v>
      </c>
      <c r="C5" s="10" t="s">
        <v>689</v>
      </c>
    </row>
    <row r="6" spans="1:3" ht="45" x14ac:dyDescent="0.2">
      <c r="A6" s="7" t="s">
        <v>642</v>
      </c>
      <c r="B6" s="32">
        <v>20</v>
      </c>
      <c r="C6" s="10" t="s">
        <v>690</v>
      </c>
    </row>
    <row r="7" spans="1:3" ht="60" x14ac:dyDescent="0.2">
      <c r="A7" s="7" t="s">
        <v>643</v>
      </c>
      <c r="B7" s="32">
        <v>216</v>
      </c>
      <c r="C7" s="11" t="s">
        <v>661</v>
      </c>
    </row>
    <row r="8" spans="1:3" ht="60" x14ac:dyDescent="0.2">
      <c r="A8" s="7" t="s">
        <v>644</v>
      </c>
      <c r="B8" s="32">
        <v>4483</v>
      </c>
      <c r="C8" s="10" t="s">
        <v>663</v>
      </c>
    </row>
    <row r="9" spans="1:3" ht="60" x14ac:dyDescent="0.2">
      <c r="A9" s="7" t="s">
        <v>645</v>
      </c>
      <c r="B9" s="32">
        <v>46</v>
      </c>
      <c r="C9" s="10" t="s">
        <v>664</v>
      </c>
    </row>
    <row r="10" spans="1:3" ht="75" x14ac:dyDescent="0.2">
      <c r="A10" s="7" t="s">
        <v>646</v>
      </c>
      <c r="B10" s="32">
        <v>299</v>
      </c>
      <c r="C10" s="10" t="s">
        <v>665</v>
      </c>
    </row>
    <row r="11" spans="1:3" ht="30" x14ac:dyDescent="0.2">
      <c r="A11" s="7" t="s">
        <v>647</v>
      </c>
      <c r="B11" s="32">
        <v>0</v>
      </c>
      <c r="C11" s="10" t="s">
        <v>666</v>
      </c>
    </row>
    <row r="12" spans="1:3" ht="30" x14ac:dyDescent="0.2">
      <c r="A12" s="7" t="s">
        <v>648</v>
      </c>
      <c r="B12" s="32" t="s">
        <v>667</v>
      </c>
      <c r="C12" s="10" t="s">
        <v>668</v>
      </c>
    </row>
    <row r="13" spans="1:3" ht="30" x14ac:dyDescent="0.2">
      <c r="A13" s="7" t="s">
        <v>649</v>
      </c>
      <c r="B13" s="32" t="s">
        <v>669</v>
      </c>
      <c r="C13" s="10" t="s">
        <v>673</v>
      </c>
    </row>
    <row r="14" spans="1:3" ht="60" x14ac:dyDescent="0.2">
      <c r="A14" s="7" t="s">
        <v>650</v>
      </c>
      <c r="B14" s="33" t="s">
        <v>691</v>
      </c>
      <c r="C14" s="10" t="s">
        <v>683</v>
      </c>
    </row>
    <row r="15" spans="1:3" ht="45" x14ac:dyDescent="0.2">
      <c r="A15" s="7" t="s">
        <v>651</v>
      </c>
      <c r="B15" s="32">
        <v>330</v>
      </c>
      <c r="C15" s="10" t="s">
        <v>685</v>
      </c>
    </row>
    <row r="16" spans="1:3" ht="75" x14ac:dyDescent="0.2">
      <c r="A16" s="7" t="s">
        <v>652</v>
      </c>
      <c r="B16" s="32" t="s">
        <v>686</v>
      </c>
      <c r="C16" s="31" t="s">
        <v>692</v>
      </c>
    </row>
    <row r="17" spans="2:3" x14ac:dyDescent="0.2">
      <c r="C17" s="24"/>
    </row>
    <row r="18" spans="2:3" x14ac:dyDescent="0.2">
      <c r="B18" s="2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AE117-ED16-BD44-91E6-5A2153CBB8DE}">
  <sheetPr>
    <tabColor theme="0"/>
  </sheetPr>
  <dimension ref="A4:J222"/>
  <sheetViews>
    <sheetView tabSelected="1" topLeftCell="B1" workbookViewId="0">
      <selection activeCell="B13" sqref="B13"/>
    </sheetView>
  </sheetViews>
  <sheetFormatPr baseColWidth="10" defaultRowHeight="16" x14ac:dyDescent="0.2"/>
  <cols>
    <col min="1" max="1" width="13" bestFit="1" customWidth="1"/>
    <col min="2" max="2" width="46.5" customWidth="1"/>
    <col min="3" max="3" width="17.5" bestFit="1" customWidth="1"/>
    <col min="4" max="4" width="16" bestFit="1" customWidth="1"/>
    <col min="5" max="5" width="47.5" customWidth="1"/>
    <col min="6" max="6" width="45.33203125" customWidth="1"/>
    <col min="7" max="8" width="16" bestFit="1" customWidth="1"/>
    <col min="9" max="9" width="18" customWidth="1"/>
    <col min="10" max="10" width="34.6640625" customWidth="1"/>
    <col min="11" max="289" width="16" bestFit="1" customWidth="1"/>
    <col min="290" max="290" width="10.5" bestFit="1" customWidth="1"/>
  </cols>
  <sheetData>
    <row r="4" spans="1:10" x14ac:dyDescent="0.2">
      <c r="A4" s="22" t="s">
        <v>660</v>
      </c>
      <c r="B4" s="17"/>
      <c r="C4" s="16" t="s">
        <v>662</v>
      </c>
      <c r="E4" s="29" t="s">
        <v>682</v>
      </c>
      <c r="F4" s="29"/>
      <c r="I4" s="29" t="s">
        <v>688</v>
      </c>
      <c r="J4" s="29"/>
    </row>
    <row r="5" spans="1:10" x14ac:dyDescent="0.2">
      <c r="A5" s="20" t="s">
        <v>655</v>
      </c>
      <c r="B5" s="21" t="s">
        <v>659</v>
      </c>
      <c r="C5" s="19">
        <f>SUBTOTAL(3,Pivot!A6:A221)</f>
        <v>216</v>
      </c>
      <c r="E5" s="23" t="s">
        <v>9</v>
      </c>
      <c r="F5" t="s">
        <v>676</v>
      </c>
      <c r="I5" s="23" t="s">
        <v>9</v>
      </c>
      <c r="J5" s="12">
        <v>10</v>
      </c>
    </row>
    <row r="6" spans="1:10" x14ac:dyDescent="0.2">
      <c r="A6" s="12">
        <v>3789</v>
      </c>
      <c r="B6" s="1">
        <v>3480</v>
      </c>
      <c r="I6" s="23" t="s">
        <v>8</v>
      </c>
      <c r="J6" s="12">
        <v>5</v>
      </c>
    </row>
    <row r="7" spans="1:10" x14ac:dyDescent="0.2">
      <c r="A7" s="12">
        <v>2498</v>
      </c>
      <c r="B7" s="1">
        <v>3375</v>
      </c>
      <c r="E7" s="23" t="s">
        <v>677</v>
      </c>
      <c r="F7" s="18" t="s">
        <v>675</v>
      </c>
    </row>
    <row r="8" spans="1:10" x14ac:dyDescent="0.2">
      <c r="A8" s="12">
        <v>3144</v>
      </c>
      <c r="B8" s="1">
        <v>2860</v>
      </c>
      <c r="E8" s="12" t="s">
        <v>16</v>
      </c>
      <c r="F8">
        <v>56</v>
      </c>
      <c r="I8" s="23" t="s">
        <v>655</v>
      </c>
      <c r="J8" s="18" t="s">
        <v>675</v>
      </c>
    </row>
    <row r="9" spans="1:10" x14ac:dyDescent="0.2">
      <c r="A9" s="12">
        <v>4106</v>
      </c>
      <c r="B9" s="1">
        <v>2790</v>
      </c>
      <c r="E9" s="12" t="s">
        <v>17</v>
      </c>
      <c r="F9">
        <v>67</v>
      </c>
      <c r="I9" s="12" t="s">
        <v>377</v>
      </c>
      <c r="J9">
        <v>1</v>
      </c>
    </row>
    <row r="10" spans="1:10" x14ac:dyDescent="0.2">
      <c r="A10" s="12">
        <v>2798</v>
      </c>
      <c r="B10" s="1">
        <v>2770</v>
      </c>
      <c r="E10" s="12" t="s">
        <v>654</v>
      </c>
      <c r="F10">
        <v>123</v>
      </c>
      <c r="I10" s="12" t="s">
        <v>168</v>
      </c>
      <c r="J10">
        <v>1</v>
      </c>
    </row>
    <row r="11" spans="1:10" x14ac:dyDescent="0.2">
      <c r="A11" s="12">
        <v>3275</v>
      </c>
      <c r="B11" s="1">
        <v>2760</v>
      </c>
      <c r="I11" s="12" t="s">
        <v>570</v>
      </c>
      <c r="J11">
        <v>1</v>
      </c>
    </row>
    <row r="12" spans="1:10" x14ac:dyDescent="0.2">
      <c r="A12" s="12">
        <v>4374</v>
      </c>
      <c r="B12" s="1">
        <v>2730</v>
      </c>
      <c r="I12" s="12" t="s">
        <v>136</v>
      </c>
      <c r="J12">
        <v>1</v>
      </c>
    </row>
    <row r="13" spans="1:10" x14ac:dyDescent="0.2">
      <c r="A13" s="12">
        <v>3445</v>
      </c>
      <c r="B13" s="1">
        <v>2700</v>
      </c>
      <c r="I13" s="12" t="s">
        <v>654</v>
      </c>
      <c r="J13">
        <v>4</v>
      </c>
    </row>
    <row r="14" spans="1:10" x14ac:dyDescent="0.2">
      <c r="A14" s="12">
        <v>5017</v>
      </c>
      <c r="B14" s="1">
        <v>2664</v>
      </c>
      <c r="E14" s="23" t="s">
        <v>9</v>
      </c>
      <c r="F14" t="s">
        <v>676</v>
      </c>
    </row>
    <row r="15" spans="1:10" x14ac:dyDescent="0.2">
      <c r="A15" s="12">
        <v>3123</v>
      </c>
      <c r="B15" s="1">
        <v>2640</v>
      </c>
      <c r="E15" t="s">
        <v>674</v>
      </c>
    </row>
    <row r="16" spans="1:10" x14ac:dyDescent="0.2">
      <c r="A16" s="12">
        <v>3651</v>
      </c>
      <c r="B16" s="1">
        <v>2610</v>
      </c>
      <c r="E16" s="23" t="s">
        <v>678</v>
      </c>
      <c r="F16" s="18" t="s">
        <v>675</v>
      </c>
    </row>
    <row r="17" spans="1:6" x14ac:dyDescent="0.2">
      <c r="A17" s="12">
        <v>3585</v>
      </c>
      <c r="B17" s="1">
        <v>2509</v>
      </c>
      <c r="E17" s="12" t="s">
        <v>16</v>
      </c>
      <c r="F17">
        <v>63</v>
      </c>
    </row>
    <row r="18" spans="1:6" x14ac:dyDescent="0.2">
      <c r="A18" s="12">
        <v>3368</v>
      </c>
      <c r="B18" s="1">
        <v>2470</v>
      </c>
      <c r="E18" s="12" t="s">
        <v>17</v>
      </c>
      <c r="F18">
        <v>60</v>
      </c>
    </row>
    <row r="19" spans="1:6" x14ac:dyDescent="0.2">
      <c r="A19" s="12">
        <v>4627</v>
      </c>
      <c r="B19" s="1">
        <v>2368</v>
      </c>
      <c r="E19" s="12" t="s">
        <v>654</v>
      </c>
      <c r="F19">
        <v>123</v>
      </c>
    </row>
    <row r="20" spans="1:6" x14ac:dyDescent="0.2">
      <c r="A20" s="12">
        <v>2521</v>
      </c>
      <c r="B20" s="1">
        <v>2367</v>
      </c>
    </row>
    <row r="21" spans="1:6" x14ac:dyDescent="0.2">
      <c r="A21" s="12">
        <v>3151</v>
      </c>
      <c r="B21" s="1">
        <v>2360</v>
      </c>
    </row>
    <row r="22" spans="1:6" x14ac:dyDescent="0.2">
      <c r="A22" s="12">
        <v>2786</v>
      </c>
      <c r="B22" s="1">
        <v>2360</v>
      </c>
    </row>
    <row r="23" spans="1:6" x14ac:dyDescent="0.2">
      <c r="A23" s="12">
        <v>2309</v>
      </c>
      <c r="B23" s="1">
        <v>2331</v>
      </c>
      <c r="E23" s="23" t="s">
        <v>9</v>
      </c>
      <c r="F23" t="s">
        <v>676</v>
      </c>
    </row>
    <row r="24" spans="1:6" x14ac:dyDescent="0.2">
      <c r="A24" s="12">
        <v>4083</v>
      </c>
      <c r="B24" s="1">
        <v>2320</v>
      </c>
      <c r="E24" t="s">
        <v>674</v>
      </c>
    </row>
    <row r="25" spans="1:6" x14ac:dyDescent="0.2">
      <c r="A25" s="12">
        <v>2674</v>
      </c>
      <c r="B25" s="1">
        <v>2313</v>
      </c>
      <c r="E25" s="23" t="s">
        <v>679</v>
      </c>
      <c r="F25" s="18" t="s">
        <v>675</v>
      </c>
    </row>
    <row r="26" spans="1:6" x14ac:dyDescent="0.2">
      <c r="A26" s="12">
        <v>4901</v>
      </c>
      <c r="B26" s="1">
        <v>2300</v>
      </c>
      <c r="E26" s="12" t="s">
        <v>16</v>
      </c>
      <c r="F26">
        <v>66</v>
      </c>
    </row>
    <row r="27" spans="1:6" x14ac:dyDescent="0.2">
      <c r="A27" s="12">
        <v>3640</v>
      </c>
      <c r="B27" s="1">
        <v>2295</v>
      </c>
      <c r="E27" s="12" t="s">
        <v>17</v>
      </c>
      <c r="F27">
        <v>57</v>
      </c>
    </row>
    <row r="28" spans="1:6" x14ac:dyDescent="0.2">
      <c r="A28" s="12">
        <v>4761</v>
      </c>
      <c r="B28" s="1">
        <v>2268</v>
      </c>
      <c r="E28" s="12" t="s">
        <v>654</v>
      </c>
      <c r="F28">
        <v>123</v>
      </c>
    </row>
    <row r="29" spans="1:6" x14ac:dyDescent="0.2">
      <c r="A29" s="12">
        <v>4753</v>
      </c>
      <c r="B29" s="1">
        <v>2264</v>
      </c>
    </row>
    <row r="30" spans="1:6" x14ac:dyDescent="0.2">
      <c r="A30" s="12">
        <v>5561</v>
      </c>
      <c r="B30" s="1">
        <v>2250</v>
      </c>
    </row>
    <row r="31" spans="1:6" x14ac:dyDescent="0.2">
      <c r="A31" s="12">
        <v>3535</v>
      </c>
      <c r="B31" s="1">
        <v>2232</v>
      </c>
      <c r="E31" s="28" t="s">
        <v>680</v>
      </c>
      <c r="F31" s="27">
        <f>SUM(GETPIVOTDATA("ID - Utente",$E$16,"Rent Mezzo - Biciletta","Sì"),GETPIVOTDATA("ID - Utente",$E$25,"Rent Mezzo - Monopattino","Sì"))</f>
        <v>117</v>
      </c>
    </row>
    <row r="32" spans="1:6" x14ac:dyDescent="0.2">
      <c r="A32" s="12">
        <v>2888</v>
      </c>
      <c r="B32" s="1">
        <v>2226</v>
      </c>
      <c r="E32" s="28" t="s">
        <v>681</v>
      </c>
      <c r="F32" s="27">
        <v>67</v>
      </c>
    </row>
    <row r="33" spans="1:2" x14ac:dyDescent="0.2">
      <c r="A33" s="12">
        <v>2731</v>
      </c>
      <c r="B33" s="1">
        <v>2220</v>
      </c>
    </row>
    <row r="34" spans="1:2" x14ac:dyDescent="0.2">
      <c r="A34" s="12">
        <v>2631</v>
      </c>
      <c r="B34" s="1">
        <v>2205</v>
      </c>
    </row>
    <row r="35" spans="1:2" x14ac:dyDescent="0.2">
      <c r="A35" s="12">
        <v>3005</v>
      </c>
      <c r="B35" s="1">
        <v>2180</v>
      </c>
    </row>
    <row r="36" spans="1:2" x14ac:dyDescent="0.2">
      <c r="A36" s="12">
        <v>4516</v>
      </c>
      <c r="B36" s="1">
        <v>2112</v>
      </c>
    </row>
    <row r="37" spans="1:2" x14ac:dyDescent="0.2">
      <c r="A37" s="12">
        <v>2531</v>
      </c>
      <c r="B37" s="1">
        <v>2097</v>
      </c>
    </row>
    <row r="38" spans="1:2" x14ac:dyDescent="0.2">
      <c r="A38" s="12">
        <v>3319</v>
      </c>
      <c r="B38" s="1">
        <v>2070</v>
      </c>
    </row>
    <row r="39" spans="1:2" x14ac:dyDescent="0.2">
      <c r="A39" s="12">
        <v>2688</v>
      </c>
      <c r="B39" s="1">
        <v>2043</v>
      </c>
    </row>
    <row r="40" spans="1:2" x14ac:dyDescent="0.2">
      <c r="A40" s="12">
        <v>3986</v>
      </c>
      <c r="B40" s="1">
        <v>2010</v>
      </c>
    </row>
    <row r="41" spans="1:2" x14ac:dyDescent="0.2">
      <c r="A41" s="12">
        <v>4039</v>
      </c>
      <c r="B41" s="1">
        <v>2008</v>
      </c>
    </row>
    <row r="42" spans="1:2" x14ac:dyDescent="0.2">
      <c r="A42" s="12">
        <v>3527</v>
      </c>
      <c r="B42" s="1">
        <v>1979</v>
      </c>
    </row>
    <row r="43" spans="1:2" x14ac:dyDescent="0.2">
      <c r="A43" s="12">
        <v>5065</v>
      </c>
      <c r="B43" s="1">
        <v>1954</v>
      </c>
    </row>
    <row r="44" spans="1:2" x14ac:dyDescent="0.2">
      <c r="A44" s="12">
        <v>4418</v>
      </c>
      <c r="B44" s="1">
        <v>1939</v>
      </c>
    </row>
    <row r="45" spans="1:2" x14ac:dyDescent="0.2">
      <c r="A45" s="12">
        <v>4712</v>
      </c>
      <c r="B45" s="1">
        <v>1920</v>
      </c>
    </row>
    <row r="46" spans="1:2" x14ac:dyDescent="0.2">
      <c r="A46" s="12">
        <v>3474</v>
      </c>
      <c r="B46" s="1">
        <v>1905</v>
      </c>
    </row>
    <row r="47" spans="1:2" x14ac:dyDescent="0.2">
      <c r="A47" s="12">
        <v>4080</v>
      </c>
      <c r="B47" s="1">
        <v>1896</v>
      </c>
    </row>
    <row r="48" spans="1:2" x14ac:dyDescent="0.2">
      <c r="A48" s="12">
        <v>2998</v>
      </c>
      <c r="B48" s="1">
        <v>1890</v>
      </c>
    </row>
    <row r="49" spans="1:2" x14ac:dyDescent="0.2">
      <c r="A49" s="12">
        <v>4212</v>
      </c>
      <c r="B49" s="1">
        <v>1890</v>
      </c>
    </row>
    <row r="50" spans="1:2" x14ac:dyDescent="0.2">
      <c r="A50" s="12">
        <v>5307</v>
      </c>
      <c r="B50" s="1">
        <v>1881</v>
      </c>
    </row>
    <row r="51" spans="1:2" x14ac:dyDescent="0.2">
      <c r="A51" s="12">
        <v>4307</v>
      </c>
      <c r="B51" s="1">
        <v>1832</v>
      </c>
    </row>
    <row r="52" spans="1:2" x14ac:dyDescent="0.2">
      <c r="A52" s="12">
        <v>3470</v>
      </c>
      <c r="B52" s="1">
        <v>1832</v>
      </c>
    </row>
    <row r="53" spans="1:2" x14ac:dyDescent="0.2">
      <c r="A53" s="12">
        <v>2582</v>
      </c>
      <c r="B53" s="1">
        <v>1800</v>
      </c>
    </row>
    <row r="54" spans="1:2" x14ac:dyDescent="0.2">
      <c r="A54" s="12">
        <v>3074</v>
      </c>
      <c r="B54" s="1">
        <v>1791</v>
      </c>
    </row>
    <row r="55" spans="1:2" x14ac:dyDescent="0.2">
      <c r="A55" s="12">
        <v>2845</v>
      </c>
      <c r="B55" s="1">
        <v>1760</v>
      </c>
    </row>
    <row r="56" spans="1:2" x14ac:dyDescent="0.2">
      <c r="A56" s="12">
        <v>4203</v>
      </c>
      <c r="B56" s="1">
        <v>1743</v>
      </c>
    </row>
    <row r="57" spans="1:2" x14ac:dyDescent="0.2">
      <c r="A57" s="12">
        <v>4520</v>
      </c>
      <c r="B57" s="1">
        <v>1725</v>
      </c>
    </row>
    <row r="58" spans="1:2" x14ac:dyDescent="0.2">
      <c r="A58" s="12">
        <v>4710</v>
      </c>
      <c r="B58" s="1">
        <v>1701</v>
      </c>
    </row>
    <row r="59" spans="1:2" x14ac:dyDescent="0.2">
      <c r="A59" s="12">
        <v>4756</v>
      </c>
      <c r="B59" s="1">
        <v>1680</v>
      </c>
    </row>
    <row r="60" spans="1:2" x14ac:dyDescent="0.2">
      <c r="A60" s="12">
        <v>3314</v>
      </c>
      <c r="B60" s="1">
        <v>1673</v>
      </c>
    </row>
    <row r="61" spans="1:2" x14ac:dyDescent="0.2">
      <c r="A61" s="12">
        <v>2680</v>
      </c>
      <c r="B61" s="1">
        <v>1670</v>
      </c>
    </row>
    <row r="62" spans="1:2" x14ac:dyDescent="0.2">
      <c r="A62" s="12">
        <v>2918</v>
      </c>
      <c r="B62" s="1">
        <v>1664</v>
      </c>
    </row>
    <row r="63" spans="1:2" x14ac:dyDescent="0.2">
      <c r="A63" s="12">
        <v>4150</v>
      </c>
      <c r="B63" s="1">
        <v>1638</v>
      </c>
    </row>
    <row r="64" spans="1:2" x14ac:dyDescent="0.2">
      <c r="A64" s="12">
        <v>5047</v>
      </c>
      <c r="B64" s="1">
        <v>1620</v>
      </c>
    </row>
    <row r="65" spans="1:2" x14ac:dyDescent="0.2">
      <c r="A65" s="12">
        <v>2608</v>
      </c>
      <c r="B65" s="1">
        <v>1617</v>
      </c>
    </row>
    <row r="66" spans="1:2" x14ac:dyDescent="0.2">
      <c r="A66" s="12">
        <v>3637</v>
      </c>
      <c r="B66" s="1">
        <v>1610</v>
      </c>
    </row>
    <row r="67" spans="1:2" x14ac:dyDescent="0.2">
      <c r="A67" s="12">
        <v>4105</v>
      </c>
      <c r="B67" s="1">
        <v>1596</v>
      </c>
    </row>
    <row r="68" spans="1:2" x14ac:dyDescent="0.2">
      <c r="A68" s="12">
        <v>3580</v>
      </c>
      <c r="B68" s="1">
        <v>1560</v>
      </c>
    </row>
    <row r="69" spans="1:2" x14ac:dyDescent="0.2">
      <c r="A69" s="12">
        <v>3011</v>
      </c>
      <c r="B69" s="1">
        <v>1554</v>
      </c>
    </row>
    <row r="70" spans="1:2" x14ac:dyDescent="0.2">
      <c r="A70" s="12">
        <v>4364</v>
      </c>
      <c r="B70" s="1">
        <v>1503</v>
      </c>
    </row>
    <row r="71" spans="1:2" x14ac:dyDescent="0.2">
      <c r="A71" s="12">
        <v>5402</v>
      </c>
      <c r="B71" s="1">
        <v>1488</v>
      </c>
    </row>
    <row r="72" spans="1:2" x14ac:dyDescent="0.2">
      <c r="A72" s="12">
        <v>4412</v>
      </c>
      <c r="B72" s="1">
        <v>1472</v>
      </c>
    </row>
    <row r="73" spans="1:2" x14ac:dyDescent="0.2">
      <c r="A73" s="12">
        <v>3128</v>
      </c>
      <c r="B73" s="1">
        <v>1470</v>
      </c>
    </row>
    <row r="74" spans="1:2" x14ac:dyDescent="0.2">
      <c r="A74" s="12">
        <v>2503</v>
      </c>
      <c r="B74" s="1">
        <v>1465</v>
      </c>
    </row>
    <row r="75" spans="1:2" x14ac:dyDescent="0.2">
      <c r="A75" s="12">
        <v>4719</v>
      </c>
      <c r="B75" s="1">
        <v>1448</v>
      </c>
    </row>
    <row r="76" spans="1:2" x14ac:dyDescent="0.2">
      <c r="A76" s="12">
        <v>3921</v>
      </c>
      <c r="B76" s="1">
        <v>1446</v>
      </c>
    </row>
    <row r="77" spans="1:2" x14ac:dyDescent="0.2">
      <c r="A77" s="12">
        <v>4769</v>
      </c>
      <c r="B77" s="1">
        <v>1425</v>
      </c>
    </row>
    <row r="78" spans="1:2" x14ac:dyDescent="0.2">
      <c r="A78" s="12">
        <v>4453</v>
      </c>
      <c r="B78" s="1">
        <v>1420</v>
      </c>
    </row>
    <row r="79" spans="1:2" x14ac:dyDescent="0.2">
      <c r="A79" s="12">
        <v>5241</v>
      </c>
      <c r="B79" s="1">
        <v>1404</v>
      </c>
    </row>
    <row r="80" spans="1:2" x14ac:dyDescent="0.2">
      <c r="A80" s="12">
        <v>2440</v>
      </c>
      <c r="B80" s="1">
        <v>1395</v>
      </c>
    </row>
    <row r="81" spans="1:2" x14ac:dyDescent="0.2">
      <c r="A81" s="12">
        <v>2966</v>
      </c>
      <c r="B81" s="1">
        <v>1368</v>
      </c>
    </row>
    <row r="82" spans="1:2" x14ac:dyDescent="0.2">
      <c r="A82" s="12">
        <v>3552</v>
      </c>
      <c r="B82" s="1">
        <v>1368</v>
      </c>
    </row>
    <row r="83" spans="1:2" x14ac:dyDescent="0.2">
      <c r="A83" s="12">
        <v>4511</v>
      </c>
      <c r="B83" s="1">
        <v>1359</v>
      </c>
    </row>
    <row r="84" spans="1:2" x14ac:dyDescent="0.2">
      <c r="A84" s="12">
        <v>4034</v>
      </c>
      <c r="B84" s="1">
        <v>1340</v>
      </c>
    </row>
    <row r="85" spans="1:2" x14ac:dyDescent="0.2">
      <c r="A85" s="12">
        <v>4918</v>
      </c>
      <c r="B85" s="1">
        <v>1338</v>
      </c>
    </row>
    <row r="86" spans="1:2" x14ac:dyDescent="0.2">
      <c r="A86" s="12">
        <v>3357</v>
      </c>
      <c r="B86" s="1">
        <v>1335</v>
      </c>
    </row>
    <row r="87" spans="1:2" x14ac:dyDescent="0.2">
      <c r="A87" s="12">
        <v>5186</v>
      </c>
      <c r="B87" s="1">
        <v>1330</v>
      </c>
    </row>
    <row r="88" spans="1:2" x14ac:dyDescent="0.2">
      <c r="A88" s="12">
        <v>4598</v>
      </c>
      <c r="B88" s="1">
        <v>1305</v>
      </c>
    </row>
    <row r="89" spans="1:2" x14ac:dyDescent="0.2">
      <c r="A89" s="12">
        <v>4932</v>
      </c>
      <c r="B89" s="1">
        <v>1296</v>
      </c>
    </row>
    <row r="90" spans="1:2" x14ac:dyDescent="0.2">
      <c r="A90" s="12">
        <v>5253</v>
      </c>
      <c r="B90" s="1">
        <v>1295</v>
      </c>
    </row>
    <row r="91" spans="1:2" x14ac:dyDescent="0.2">
      <c r="A91" s="12">
        <v>5232</v>
      </c>
      <c r="B91" s="1">
        <v>1265</v>
      </c>
    </row>
    <row r="92" spans="1:2" x14ac:dyDescent="0.2">
      <c r="A92" s="12">
        <v>3532</v>
      </c>
      <c r="B92" s="1">
        <v>1253</v>
      </c>
    </row>
    <row r="93" spans="1:2" x14ac:dyDescent="0.2">
      <c r="A93" s="12">
        <v>3366</v>
      </c>
      <c r="B93" s="1">
        <v>1253</v>
      </c>
    </row>
    <row r="94" spans="1:2" x14ac:dyDescent="0.2">
      <c r="A94" s="12">
        <v>3233</v>
      </c>
      <c r="B94" s="1">
        <v>1250</v>
      </c>
    </row>
    <row r="95" spans="1:2" x14ac:dyDescent="0.2">
      <c r="A95" s="12">
        <v>2629</v>
      </c>
      <c r="B95" s="1">
        <v>1248</v>
      </c>
    </row>
    <row r="96" spans="1:2" x14ac:dyDescent="0.2">
      <c r="A96" s="12">
        <v>2640</v>
      </c>
      <c r="B96" s="1">
        <v>1246</v>
      </c>
    </row>
    <row r="97" spans="1:2" x14ac:dyDescent="0.2">
      <c r="A97" s="12">
        <v>5533</v>
      </c>
      <c r="B97" s="1">
        <v>1200</v>
      </c>
    </row>
    <row r="98" spans="1:2" x14ac:dyDescent="0.2">
      <c r="A98" s="12">
        <v>5552</v>
      </c>
      <c r="B98" s="1">
        <v>1194</v>
      </c>
    </row>
    <row r="99" spans="1:2" x14ac:dyDescent="0.2">
      <c r="A99" s="12">
        <v>5308</v>
      </c>
      <c r="B99" s="1">
        <v>1183</v>
      </c>
    </row>
    <row r="100" spans="1:2" x14ac:dyDescent="0.2">
      <c r="A100" s="12">
        <v>4375</v>
      </c>
      <c r="B100" s="1">
        <v>1182</v>
      </c>
    </row>
    <row r="101" spans="1:2" x14ac:dyDescent="0.2">
      <c r="A101" s="12">
        <v>4501</v>
      </c>
      <c r="B101" s="1">
        <v>1176</v>
      </c>
    </row>
    <row r="102" spans="1:2" x14ac:dyDescent="0.2">
      <c r="A102" s="12">
        <v>5380</v>
      </c>
      <c r="B102" s="1">
        <v>1150</v>
      </c>
    </row>
    <row r="103" spans="1:2" x14ac:dyDescent="0.2">
      <c r="A103" s="12">
        <v>4843</v>
      </c>
      <c r="B103" s="1">
        <v>1141</v>
      </c>
    </row>
    <row r="104" spans="1:2" x14ac:dyDescent="0.2">
      <c r="A104" s="12">
        <v>5294</v>
      </c>
      <c r="B104" s="1">
        <v>1124</v>
      </c>
    </row>
    <row r="105" spans="1:2" x14ac:dyDescent="0.2">
      <c r="A105" s="12">
        <v>4599</v>
      </c>
      <c r="B105" s="1">
        <v>1120</v>
      </c>
    </row>
    <row r="106" spans="1:2" x14ac:dyDescent="0.2">
      <c r="A106" s="12">
        <v>2800</v>
      </c>
      <c r="B106" s="1">
        <v>1112</v>
      </c>
    </row>
    <row r="107" spans="1:2" x14ac:dyDescent="0.2">
      <c r="A107" s="12">
        <v>2523</v>
      </c>
      <c r="B107" s="1">
        <v>1112</v>
      </c>
    </row>
    <row r="108" spans="1:2" x14ac:dyDescent="0.2">
      <c r="A108" s="12">
        <v>2383</v>
      </c>
      <c r="B108" s="1">
        <v>1108</v>
      </c>
    </row>
    <row r="109" spans="1:2" x14ac:dyDescent="0.2">
      <c r="A109" s="12">
        <v>5353</v>
      </c>
      <c r="B109" s="1">
        <v>1100</v>
      </c>
    </row>
    <row r="110" spans="1:2" x14ac:dyDescent="0.2">
      <c r="A110" s="12">
        <v>3624</v>
      </c>
      <c r="B110" s="1">
        <v>1100</v>
      </c>
    </row>
    <row r="111" spans="1:2" x14ac:dyDescent="0.2">
      <c r="A111" s="12">
        <v>4616</v>
      </c>
      <c r="B111" s="1">
        <v>1065</v>
      </c>
    </row>
    <row r="112" spans="1:2" x14ac:dyDescent="0.2">
      <c r="A112" s="12">
        <v>4665</v>
      </c>
      <c r="B112" s="1">
        <v>1064</v>
      </c>
    </row>
    <row r="113" spans="1:2" x14ac:dyDescent="0.2">
      <c r="A113" s="12">
        <v>5523</v>
      </c>
      <c r="B113" s="1">
        <v>1057</v>
      </c>
    </row>
    <row r="114" spans="1:2" x14ac:dyDescent="0.2">
      <c r="A114" s="12">
        <v>5284</v>
      </c>
      <c r="B114" s="1">
        <v>1050</v>
      </c>
    </row>
    <row r="115" spans="1:2" x14ac:dyDescent="0.2">
      <c r="A115" s="12">
        <v>4024</v>
      </c>
      <c r="B115" s="1">
        <v>1050</v>
      </c>
    </row>
    <row r="116" spans="1:2" x14ac:dyDescent="0.2">
      <c r="A116" s="12">
        <v>4087</v>
      </c>
      <c r="B116" s="1">
        <v>1045</v>
      </c>
    </row>
    <row r="117" spans="1:2" x14ac:dyDescent="0.2">
      <c r="A117" s="12">
        <v>3549</v>
      </c>
      <c r="B117" s="1">
        <v>1036</v>
      </c>
    </row>
    <row r="118" spans="1:2" x14ac:dyDescent="0.2">
      <c r="A118" s="12">
        <v>3884</v>
      </c>
      <c r="B118" s="1">
        <v>1008</v>
      </c>
    </row>
    <row r="119" spans="1:2" x14ac:dyDescent="0.2">
      <c r="A119" s="12">
        <v>4124</v>
      </c>
      <c r="B119" s="1">
        <v>994</v>
      </c>
    </row>
    <row r="120" spans="1:2" x14ac:dyDescent="0.2">
      <c r="A120" s="12">
        <v>4833</v>
      </c>
      <c r="B120" s="1">
        <v>970</v>
      </c>
    </row>
    <row r="121" spans="1:2" x14ac:dyDescent="0.2">
      <c r="A121" s="12">
        <v>4411</v>
      </c>
      <c r="B121" s="1">
        <v>963</v>
      </c>
    </row>
    <row r="122" spans="1:2" x14ac:dyDescent="0.2">
      <c r="A122" s="12">
        <v>2312</v>
      </c>
      <c r="B122" s="1">
        <v>960</v>
      </c>
    </row>
    <row r="123" spans="1:2" x14ac:dyDescent="0.2">
      <c r="A123" s="12">
        <v>3294</v>
      </c>
      <c r="B123" s="1">
        <v>948</v>
      </c>
    </row>
    <row r="124" spans="1:2" x14ac:dyDescent="0.2">
      <c r="A124" s="12">
        <v>3570</v>
      </c>
      <c r="B124" s="1">
        <v>942</v>
      </c>
    </row>
    <row r="125" spans="1:2" x14ac:dyDescent="0.2">
      <c r="A125" s="12">
        <v>5286</v>
      </c>
      <c r="B125" s="1">
        <v>903</v>
      </c>
    </row>
    <row r="126" spans="1:2" x14ac:dyDescent="0.2">
      <c r="A126" s="12">
        <v>3783</v>
      </c>
      <c r="B126" s="1">
        <v>880</v>
      </c>
    </row>
    <row r="127" spans="1:2" x14ac:dyDescent="0.2">
      <c r="A127" s="12">
        <v>2560</v>
      </c>
      <c r="B127" s="1">
        <v>875</v>
      </c>
    </row>
    <row r="128" spans="1:2" x14ac:dyDescent="0.2">
      <c r="A128" s="12">
        <v>4637</v>
      </c>
      <c r="B128" s="1">
        <v>873</v>
      </c>
    </row>
    <row r="129" spans="1:2" x14ac:dyDescent="0.2">
      <c r="A129" s="12">
        <v>3660</v>
      </c>
      <c r="B129" s="1">
        <v>840</v>
      </c>
    </row>
    <row r="130" spans="1:2" x14ac:dyDescent="0.2">
      <c r="A130" s="12">
        <v>4070</v>
      </c>
      <c r="B130" s="1">
        <v>834</v>
      </c>
    </row>
    <row r="131" spans="1:2" x14ac:dyDescent="0.2">
      <c r="A131" s="12">
        <v>4590</v>
      </c>
      <c r="B131" s="1">
        <v>833</v>
      </c>
    </row>
    <row r="132" spans="1:2" x14ac:dyDescent="0.2">
      <c r="A132" s="12">
        <v>3413</v>
      </c>
      <c r="B132" s="1">
        <v>831</v>
      </c>
    </row>
    <row r="133" spans="1:2" x14ac:dyDescent="0.2">
      <c r="A133" s="12">
        <v>4067</v>
      </c>
      <c r="B133" s="1">
        <v>813</v>
      </c>
    </row>
    <row r="134" spans="1:2" x14ac:dyDescent="0.2">
      <c r="A134" s="12">
        <v>2565</v>
      </c>
      <c r="B134" s="1">
        <v>812</v>
      </c>
    </row>
    <row r="135" spans="1:2" x14ac:dyDescent="0.2">
      <c r="A135" s="12">
        <v>5584</v>
      </c>
      <c r="B135" s="1">
        <v>804</v>
      </c>
    </row>
    <row r="136" spans="1:2" x14ac:dyDescent="0.2">
      <c r="A136" s="12">
        <v>4144</v>
      </c>
      <c r="B136" s="1">
        <v>801</v>
      </c>
    </row>
    <row r="137" spans="1:2" x14ac:dyDescent="0.2">
      <c r="A137" s="12">
        <v>3188</v>
      </c>
      <c r="B137" s="1">
        <v>801</v>
      </c>
    </row>
    <row r="138" spans="1:2" x14ac:dyDescent="0.2">
      <c r="A138" s="12">
        <v>5142</v>
      </c>
      <c r="B138" s="1">
        <v>800</v>
      </c>
    </row>
    <row r="139" spans="1:2" x14ac:dyDescent="0.2">
      <c r="A139" s="12">
        <v>2426</v>
      </c>
      <c r="B139" s="1">
        <v>789</v>
      </c>
    </row>
    <row r="140" spans="1:2" x14ac:dyDescent="0.2">
      <c r="A140" s="12">
        <v>3610</v>
      </c>
      <c r="B140" s="1">
        <v>783</v>
      </c>
    </row>
    <row r="141" spans="1:2" x14ac:dyDescent="0.2">
      <c r="A141" s="12">
        <v>5169</v>
      </c>
      <c r="B141" s="1">
        <v>780</v>
      </c>
    </row>
    <row r="142" spans="1:2" x14ac:dyDescent="0.2">
      <c r="A142" s="12">
        <v>4346</v>
      </c>
      <c r="B142" s="1">
        <v>780</v>
      </c>
    </row>
    <row r="143" spans="1:2" x14ac:dyDescent="0.2">
      <c r="A143" s="12">
        <v>4502</v>
      </c>
      <c r="B143" s="1">
        <v>776</v>
      </c>
    </row>
    <row r="144" spans="1:2" x14ac:dyDescent="0.2">
      <c r="A144" s="12">
        <v>3875</v>
      </c>
      <c r="B144" s="1">
        <v>765</v>
      </c>
    </row>
    <row r="145" spans="1:2" x14ac:dyDescent="0.2">
      <c r="A145" s="12">
        <v>4439</v>
      </c>
      <c r="B145" s="1">
        <v>756</v>
      </c>
    </row>
    <row r="146" spans="1:2" x14ac:dyDescent="0.2">
      <c r="A146" s="12">
        <v>4135</v>
      </c>
      <c r="B146" s="1">
        <v>748</v>
      </c>
    </row>
    <row r="147" spans="1:2" x14ac:dyDescent="0.2">
      <c r="A147" s="12">
        <v>4435</v>
      </c>
      <c r="B147" s="1">
        <v>747</v>
      </c>
    </row>
    <row r="148" spans="1:2" x14ac:dyDescent="0.2">
      <c r="A148" s="12">
        <v>4593</v>
      </c>
      <c r="B148" s="1">
        <v>738</v>
      </c>
    </row>
    <row r="149" spans="1:2" x14ac:dyDescent="0.2">
      <c r="A149" s="12">
        <v>4270</v>
      </c>
      <c r="B149" s="1">
        <v>735</v>
      </c>
    </row>
    <row r="150" spans="1:2" x14ac:dyDescent="0.2">
      <c r="A150" s="12">
        <v>4575</v>
      </c>
      <c r="B150" s="1">
        <v>732</v>
      </c>
    </row>
    <row r="151" spans="1:2" x14ac:dyDescent="0.2">
      <c r="A151" s="12">
        <v>4821</v>
      </c>
      <c r="B151" s="1">
        <v>717</v>
      </c>
    </row>
    <row r="152" spans="1:2" x14ac:dyDescent="0.2">
      <c r="A152" s="12">
        <v>4801</v>
      </c>
      <c r="B152" s="1">
        <v>693</v>
      </c>
    </row>
    <row r="153" spans="1:2" x14ac:dyDescent="0.2">
      <c r="A153" s="12">
        <v>4675</v>
      </c>
      <c r="B153" s="1">
        <v>686</v>
      </c>
    </row>
    <row r="154" spans="1:2" x14ac:dyDescent="0.2">
      <c r="A154" s="12">
        <v>2611</v>
      </c>
      <c r="B154" s="1">
        <v>675</v>
      </c>
    </row>
    <row r="155" spans="1:2" x14ac:dyDescent="0.2">
      <c r="A155" s="12">
        <v>3813</v>
      </c>
      <c r="B155" s="1">
        <v>660</v>
      </c>
    </row>
    <row r="156" spans="1:2" x14ac:dyDescent="0.2">
      <c r="A156" s="12">
        <v>4431</v>
      </c>
      <c r="B156" s="1">
        <v>651</v>
      </c>
    </row>
    <row r="157" spans="1:2" x14ac:dyDescent="0.2">
      <c r="A157" s="12">
        <v>3838</v>
      </c>
      <c r="B157" s="1">
        <v>632</v>
      </c>
    </row>
    <row r="158" spans="1:2" x14ac:dyDescent="0.2">
      <c r="A158" s="12">
        <v>3903</v>
      </c>
      <c r="B158" s="1">
        <v>630</v>
      </c>
    </row>
    <row r="159" spans="1:2" x14ac:dyDescent="0.2">
      <c r="A159" s="12">
        <v>3866</v>
      </c>
      <c r="B159" s="1">
        <v>628</v>
      </c>
    </row>
    <row r="160" spans="1:2" x14ac:dyDescent="0.2">
      <c r="A160" s="12">
        <v>3755</v>
      </c>
      <c r="B160" s="1">
        <v>628</v>
      </c>
    </row>
    <row r="161" spans="1:2" x14ac:dyDescent="0.2">
      <c r="A161" s="12">
        <v>5407</v>
      </c>
      <c r="B161" s="1">
        <v>621</v>
      </c>
    </row>
    <row r="162" spans="1:2" x14ac:dyDescent="0.2">
      <c r="A162" s="12">
        <v>5173</v>
      </c>
      <c r="B162" s="1">
        <v>612</v>
      </c>
    </row>
    <row r="163" spans="1:2" x14ac:dyDescent="0.2">
      <c r="A163" s="12">
        <v>5482</v>
      </c>
      <c r="B163" s="1">
        <v>606</v>
      </c>
    </row>
    <row r="164" spans="1:2" x14ac:dyDescent="0.2">
      <c r="A164" s="12">
        <v>5019</v>
      </c>
      <c r="B164" s="1">
        <v>605</v>
      </c>
    </row>
    <row r="165" spans="1:2" x14ac:dyDescent="0.2">
      <c r="A165" s="12">
        <v>4176</v>
      </c>
      <c r="B165" s="1">
        <v>594</v>
      </c>
    </row>
    <row r="166" spans="1:2" x14ac:dyDescent="0.2">
      <c r="A166" s="12">
        <v>3576</v>
      </c>
      <c r="B166" s="1">
        <v>585</v>
      </c>
    </row>
    <row r="167" spans="1:2" x14ac:dyDescent="0.2">
      <c r="A167" s="12">
        <v>5567</v>
      </c>
      <c r="B167" s="1">
        <v>572</v>
      </c>
    </row>
    <row r="168" spans="1:2" x14ac:dyDescent="0.2">
      <c r="A168" s="12">
        <v>2356</v>
      </c>
      <c r="B168" s="1">
        <v>570</v>
      </c>
    </row>
    <row r="169" spans="1:2" x14ac:dyDescent="0.2">
      <c r="A169" s="12">
        <v>5575</v>
      </c>
      <c r="B169" s="1">
        <v>568</v>
      </c>
    </row>
    <row r="170" spans="1:2" x14ac:dyDescent="0.2">
      <c r="A170" s="12">
        <v>2653</v>
      </c>
      <c r="B170" s="1">
        <v>564</v>
      </c>
    </row>
    <row r="171" spans="1:2" x14ac:dyDescent="0.2">
      <c r="A171" s="12">
        <v>5491</v>
      </c>
      <c r="B171" s="1">
        <v>562</v>
      </c>
    </row>
    <row r="172" spans="1:2" x14ac:dyDescent="0.2">
      <c r="A172" s="12">
        <v>3324</v>
      </c>
      <c r="B172" s="1">
        <v>558</v>
      </c>
    </row>
    <row r="173" spans="1:2" x14ac:dyDescent="0.2">
      <c r="A173" s="12">
        <v>5548</v>
      </c>
      <c r="B173" s="1">
        <v>556</v>
      </c>
    </row>
    <row r="174" spans="1:2" x14ac:dyDescent="0.2">
      <c r="A174" s="12">
        <v>5440</v>
      </c>
      <c r="B174" s="1">
        <v>552</v>
      </c>
    </row>
    <row r="175" spans="1:2" x14ac:dyDescent="0.2">
      <c r="A175" s="12">
        <v>3648</v>
      </c>
      <c r="B175" s="1">
        <v>552</v>
      </c>
    </row>
    <row r="176" spans="1:2" x14ac:dyDescent="0.2">
      <c r="A176" s="12">
        <v>3273</v>
      </c>
      <c r="B176" s="1">
        <v>549</v>
      </c>
    </row>
    <row r="177" spans="1:2" x14ac:dyDescent="0.2">
      <c r="A177" s="12">
        <v>4606</v>
      </c>
      <c r="B177" s="1">
        <v>534</v>
      </c>
    </row>
    <row r="178" spans="1:2" x14ac:dyDescent="0.2">
      <c r="A178" s="12">
        <v>2792</v>
      </c>
      <c r="B178" s="1">
        <v>531</v>
      </c>
    </row>
    <row r="179" spans="1:2" x14ac:dyDescent="0.2">
      <c r="A179" s="12">
        <v>3658</v>
      </c>
      <c r="B179" s="1">
        <v>525</v>
      </c>
    </row>
    <row r="180" spans="1:2" x14ac:dyDescent="0.2">
      <c r="A180" s="12">
        <v>4526</v>
      </c>
      <c r="B180" s="1">
        <v>516</v>
      </c>
    </row>
    <row r="181" spans="1:2" x14ac:dyDescent="0.2">
      <c r="A181" s="12">
        <v>2841</v>
      </c>
      <c r="B181" s="1">
        <v>512</v>
      </c>
    </row>
    <row r="182" spans="1:2" x14ac:dyDescent="0.2">
      <c r="A182" s="12">
        <v>2657</v>
      </c>
      <c r="B182" s="1">
        <v>508</v>
      </c>
    </row>
    <row r="183" spans="1:2" x14ac:dyDescent="0.2">
      <c r="A183" s="12">
        <v>3924</v>
      </c>
      <c r="B183" s="1">
        <v>507</v>
      </c>
    </row>
    <row r="184" spans="1:2" x14ac:dyDescent="0.2">
      <c r="A184" s="12">
        <v>4023</v>
      </c>
      <c r="B184" s="1">
        <v>498</v>
      </c>
    </row>
    <row r="185" spans="1:2" x14ac:dyDescent="0.2">
      <c r="A185" s="12">
        <v>5174</v>
      </c>
      <c r="B185" s="1">
        <v>498</v>
      </c>
    </row>
    <row r="186" spans="1:2" x14ac:dyDescent="0.2">
      <c r="A186" s="12">
        <v>2672</v>
      </c>
      <c r="B186" s="1">
        <v>495</v>
      </c>
    </row>
    <row r="187" spans="1:2" x14ac:dyDescent="0.2">
      <c r="A187" s="12">
        <v>3355</v>
      </c>
      <c r="B187" s="1">
        <v>495</v>
      </c>
    </row>
    <row r="188" spans="1:2" x14ac:dyDescent="0.2">
      <c r="A188" s="12">
        <v>4058</v>
      </c>
      <c r="B188" s="1">
        <v>495</v>
      </c>
    </row>
    <row r="189" spans="1:2" x14ac:dyDescent="0.2">
      <c r="A189" s="12">
        <v>4465</v>
      </c>
      <c r="B189" s="1">
        <v>495</v>
      </c>
    </row>
    <row r="190" spans="1:2" x14ac:dyDescent="0.2">
      <c r="A190" s="12">
        <v>4990</v>
      </c>
      <c r="B190" s="1">
        <v>486</v>
      </c>
    </row>
    <row r="191" spans="1:2" x14ac:dyDescent="0.2">
      <c r="A191" s="12">
        <v>3239</v>
      </c>
      <c r="B191" s="1">
        <v>486</v>
      </c>
    </row>
    <row r="192" spans="1:2" x14ac:dyDescent="0.2">
      <c r="A192" s="12">
        <v>2810</v>
      </c>
      <c r="B192" s="1">
        <v>459</v>
      </c>
    </row>
    <row r="193" spans="1:2" x14ac:dyDescent="0.2">
      <c r="A193" s="12">
        <v>4811</v>
      </c>
      <c r="B193" s="1">
        <v>456</v>
      </c>
    </row>
    <row r="194" spans="1:2" x14ac:dyDescent="0.2">
      <c r="A194" s="12">
        <v>3586</v>
      </c>
      <c r="B194" s="1">
        <v>455</v>
      </c>
    </row>
    <row r="195" spans="1:2" x14ac:dyDescent="0.2">
      <c r="A195" s="12">
        <v>3022</v>
      </c>
      <c r="B195" s="1">
        <v>450</v>
      </c>
    </row>
    <row r="196" spans="1:2" x14ac:dyDescent="0.2">
      <c r="A196" s="12">
        <v>4944</v>
      </c>
      <c r="B196" s="1">
        <v>434</v>
      </c>
    </row>
    <row r="197" spans="1:2" x14ac:dyDescent="0.2">
      <c r="A197" s="12">
        <v>3804</v>
      </c>
      <c r="B197" s="1">
        <v>432</v>
      </c>
    </row>
    <row r="198" spans="1:2" x14ac:dyDescent="0.2">
      <c r="A198" s="12">
        <v>4240</v>
      </c>
      <c r="B198" s="1">
        <v>430</v>
      </c>
    </row>
    <row r="199" spans="1:2" x14ac:dyDescent="0.2">
      <c r="A199" s="12">
        <v>5021</v>
      </c>
      <c r="B199" s="1">
        <v>428</v>
      </c>
    </row>
    <row r="200" spans="1:2" x14ac:dyDescent="0.2">
      <c r="A200" s="12">
        <v>2844</v>
      </c>
      <c r="B200" s="1">
        <v>424</v>
      </c>
    </row>
    <row r="201" spans="1:2" x14ac:dyDescent="0.2">
      <c r="A201" s="12">
        <v>2452</v>
      </c>
      <c r="B201" s="1">
        <v>423</v>
      </c>
    </row>
    <row r="202" spans="1:2" x14ac:dyDescent="0.2">
      <c r="A202" s="12">
        <v>4770</v>
      </c>
      <c r="B202" s="1">
        <v>420</v>
      </c>
    </row>
    <row r="203" spans="1:2" x14ac:dyDescent="0.2">
      <c r="A203" s="12">
        <v>3092</v>
      </c>
      <c r="B203" s="1">
        <v>420</v>
      </c>
    </row>
    <row r="204" spans="1:2" x14ac:dyDescent="0.2">
      <c r="A204" s="12">
        <v>2517</v>
      </c>
      <c r="B204" s="1">
        <v>417</v>
      </c>
    </row>
    <row r="205" spans="1:2" x14ac:dyDescent="0.2">
      <c r="A205" s="12">
        <v>2370</v>
      </c>
      <c r="B205" s="1">
        <v>410</v>
      </c>
    </row>
    <row r="206" spans="1:2" x14ac:dyDescent="0.2">
      <c r="A206" s="12">
        <v>2739</v>
      </c>
      <c r="B206" s="1">
        <v>408</v>
      </c>
    </row>
    <row r="207" spans="1:2" x14ac:dyDescent="0.2">
      <c r="A207" s="12">
        <v>3150</v>
      </c>
      <c r="B207" s="1">
        <v>408</v>
      </c>
    </row>
    <row r="208" spans="1:2" x14ac:dyDescent="0.2">
      <c r="A208" s="12">
        <v>4388</v>
      </c>
      <c r="B208" s="1">
        <v>400</v>
      </c>
    </row>
    <row r="209" spans="1:2" x14ac:dyDescent="0.2">
      <c r="A209" s="12">
        <v>3617</v>
      </c>
      <c r="B209" s="1">
        <v>388</v>
      </c>
    </row>
    <row r="210" spans="1:2" x14ac:dyDescent="0.2">
      <c r="A210" s="12">
        <v>3561</v>
      </c>
      <c r="B210" s="1">
        <v>384</v>
      </c>
    </row>
    <row r="211" spans="1:2" x14ac:dyDescent="0.2">
      <c r="A211" s="12">
        <v>3823</v>
      </c>
      <c r="B211" s="1">
        <v>384</v>
      </c>
    </row>
    <row r="212" spans="1:2" x14ac:dyDescent="0.2">
      <c r="A212" s="12">
        <v>5305</v>
      </c>
      <c r="B212" s="1">
        <v>378</v>
      </c>
    </row>
    <row r="213" spans="1:2" x14ac:dyDescent="0.2">
      <c r="A213" s="12">
        <v>4565</v>
      </c>
      <c r="B213" s="1">
        <v>376</v>
      </c>
    </row>
    <row r="214" spans="1:2" x14ac:dyDescent="0.2">
      <c r="A214" s="12">
        <v>4699</v>
      </c>
      <c r="B214" s="1">
        <v>355</v>
      </c>
    </row>
    <row r="215" spans="1:2" x14ac:dyDescent="0.2">
      <c r="A215" s="12">
        <v>2445</v>
      </c>
      <c r="B215" s="1">
        <v>338</v>
      </c>
    </row>
    <row r="216" spans="1:2" x14ac:dyDescent="0.2">
      <c r="A216" s="12">
        <v>4926</v>
      </c>
      <c r="B216" s="1">
        <v>335</v>
      </c>
    </row>
    <row r="217" spans="1:2" x14ac:dyDescent="0.2">
      <c r="A217" s="12">
        <v>5525</v>
      </c>
      <c r="B217" s="1">
        <v>330</v>
      </c>
    </row>
    <row r="218" spans="1:2" x14ac:dyDescent="0.2">
      <c r="A218" s="12">
        <v>4754</v>
      </c>
      <c r="B218" s="1">
        <v>322</v>
      </c>
    </row>
    <row r="219" spans="1:2" x14ac:dyDescent="0.2">
      <c r="A219" s="12">
        <v>2304</v>
      </c>
      <c r="B219" s="1">
        <v>320</v>
      </c>
    </row>
    <row r="220" spans="1:2" x14ac:dyDescent="0.2">
      <c r="A220" s="12">
        <v>3252</v>
      </c>
      <c r="B220" s="1">
        <v>312</v>
      </c>
    </row>
    <row r="221" spans="1:2" x14ac:dyDescent="0.2">
      <c r="A221" s="12">
        <v>4230</v>
      </c>
      <c r="B221" s="1">
        <v>304</v>
      </c>
    </row>
    <row r="222" spans="1:2" x14ac:dyDescent="0.2">
      <c r="A222" s="12" t="s">
        <v>654</v>
      </c>
      <c r="B222" s="1">
        <v>259852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Raw Data</vt:lpstr>
      <vt:lpstr>Operative_Marco-Fernando_Caputo</vt:lpstr>
      <vt:lpstr>Test</vt:lpstr>
      <vt:lpstr>Pivot</vt:lpstr>
      <vt:lpstr>'Operative_Marco-Fernando_Caputo'!Criteria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Caggiula  Alessio</dc:creator>
  <cp:lastModifiedBy>Caggiula  Alessio</cp:lastModifiedBy>
  <dcterms:created xsi:type="dcterms:W3CDTF">2025-07-06T17:03:30Z</dcterms:created>
  <dcterms:modified xsi:type="dcterms:W3CDTF">2025-07-08T09:30:37Z</dcterms:modified>
</cp:coreProperties>
</file>