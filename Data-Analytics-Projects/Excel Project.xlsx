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marco/Downloads/PROGETTI DATA ANALISI/EXCEL/"/>
    </mc:Choice>
  </mc:AlternateContent>
  <xr:revisionPtr revIDLastSave="0" documentId="13_ncr:1_{2C3A091E-BB15-7B43-AC76-FB8A8D554FB6}" xr6:coauthVersionLast="47" xr6:coauthVersionMax="47" xr10:uidLastSave="{00000000-0000-0000-0000-000000000000}"/>
  <bookViews>
    <workbookView xWindow="0" yWindow="760" windowWidth="30240" windowHeight="17360" activeTab="2" xr2:uid="{00000000-000D-0000-FFFF-FFFF00000000}"/>
  </bookViews>
  <sheets>
    <sheet name="Lifestyle Bonus Statali" sheetId="1" r:id="rId1"/>
    <sheet name="Città" sheetId="2" r:id="rId2"/>
    <sheet name="Domande" sheetId="3" r:id="rId3"/>
    <sheet name="Pivot" sheetId="4" r:id="rId4"/>
    <sheet name="Grafici" sheetId="5" r:id="rId5"/>
  </sheets>
  <definedNames>
    <definedName name="ESITO">#REF!</definedName>
    <definedName name="Slicer_Mese">#N/A</definedName>
    <definedName name="Slicer_Provincia">#N/A</definedName>
    <definedName name="Slicer_Servizio">#N/A</definedName>
  </definedNames>
  <calcPr calcId="191029"/>
  <pivotCaches>
    <pivotCache cacheId="2"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B16" i="3"/>
  <c r="B14" i="3"/>
  <c r="B15" i="3"/>
  <c r="B13" i="3"/>
  <c r="B12" i="3"/>
  <c r="B11" i="3"/>
  <c r="B7" i="3"/>
  <c r="B6" i="3"/>
  <c r="F4" i="1"/>
  <c r="F2" i="1"/>
  <c r="F3" i="1"/>
  <c r="F5" i="1"/>
  <c r="F6" i="1"/>
  <c r="F7" i="1"/>
  <c r="F8" i="1"/>
  <c r="F9" i="1"/>
  <c r="F10" i="1"/>
  <c r="F11" i="1"/>
  <c r="F12" i="1"/>
  <c r="F13" i="1"/>
  <c r="F14" i="1"/>
  <c r="F15" i="1"/>
  <c r="F16" i="1"/>
  <c r="F17" i="1"/>
  <c r="F18" i="1"/>
  <c r="F19" i="1"/>
  <c r="F20" i="1"/>
  <c r="F21" i="1"/>
  <c r="F22" i="1"/>
  <c r="F23" i="1"/>
  <c r="F24" i="1"/>
  <c r="F25" i="1"/>
  <c r="F26"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<sst xmlns="http://schemas.openxmlformats.org/spreadsheetml/2006/main" count="158" uniqueCount="68">
  <si>
    <t># Scontrino</t>
  </si>
  <si>
    <t>Provincia</t>
  </si>
  <si>
    <t>Mese</t>
  </si>
  <si>
    <t>Importo Scontrino</t>
  </si>
  <si>
    <t>Servizio</t>
  </si>
  <si>
    <t>Città</t>
  </si>
  <si>
    <t>Importo</t>
  </si>
  <si>
    <t>Fermo</t>
  </si>
  <si>
    <t>settembre</t>
  </si>
  <si>
    <t>ISEE</t>
  </si>
  <si>
    <t>marzo</t>
  </si>
  <si>
    <t>Bonus Elettrico</t>
  </si>
  <si>
    <t>aprile</t>
  </si>
  <si>
    <t>RdC</t>
  </si>
  <si>
    <t>maggio</t>
  </si>
  <si>
    <t>febbraio</t>
  </si>
  <si>
    <t>Bonus Idrico</t>
  </si>
  <si>
    <t>Ancona</t>
  </si>
  <si>
    <t>giugno</t>
  </si>
  <si>
    <t>Bonus Gas</t>
  </si>
  <si>
    <t>luglio</t>
  </si>
  <si>
    <t>gennaio</t>
  </si>
  <si>
    <t>Pesaro-Urbino</t>
  </si>
  <si>
    <t>agosto</t>
  </si>
  <si>
    <t>novembre</t>
  </si>
  <si>
    <t>Ascoli Piceno</t>
  </si>
  <si>
    <t>Macerata</t>
  </si>
  <si>
    <t>dicembre</t>
  </si>
  <si>
    <t>città</t>
  </si>
  <si>
    <t>Ascoli</t>
  </si>
  <si>
    <t>Pesaro</t>
  </si>
  <si>
    <t>Domanda</t>
  </si>
  <si>
    <t>Risposta</t>
  </si>
  <si>
    <t>Come si chiama questo foglio?</t>
  </si>
  <si>
    <t>LIFESTYLE STARTUP BONUS STATALI</t>
  </si>
  <si>
    <t>Qual è una qualunque colonna non vuota in questo foglio?</t>
  </si>
  <si>
    <t>COLONNA H</t>
  </si>
  <si>
    <t>Qual è una qualunque riga non vuota in questo foglio?</t>
  </si>
  <si>
    <t>RIGA 4</t>
  </si>
  <si>
    <t>Qual è una qualunque cella non vuota in questo foglio?</t>
  </si>
  <si>
    <t>CELLA H5</t>
  </si>
  <si>
    <t>Qual è il totale delle vendite per l'intero anno? (usa una funzione per stabilirlo)</t>
  </si>
  <si>
    <t>Qual è il totale delle vendite per il mese di giugno? (anche qui usa una funzione)</t>
  </si>
  <si>
    <t>Ordina le righe in ordine dall’importo più alto al più basso. Qual è la provincia alla riga 15?</t>
  </si>
  <si>
    <t>Usa la formattazione condizionale ed evidenzia tutti i valori maggiori di 100 nella colonna degli importi.</t>
  </si>
  <si>
    <t>✅</t>
  </si>
  <si>
    <t>Quanti sono i valori evidenziati?</t>
  </si>
  <si>
    <t>Quante vendite sono state fatte a Ascoli Piceno? (numero delle vendite) (usa una funzione)</t>
  </si>
  <si>
    <t>Quante vendite sono state fatte a Fermo ad aprile? (numero delle vendite) (usa una formula simile ma un po’ più complessa)</t>
  </si>
  <si>
    <t>Qual è la somma totale del servizio Bonus Gas venduto ad Aprile?</t>
  </si>
  <si>
    <t>Qual è l'importo medio di uno scontrino? (usa una funzione per calcolarlo)</t>
  </si>
  <si>
    <t>Qual è l'importo medio di uno scontrino se consideriamo soltanto gli scontrini maggiori di €20? (puoi arrotondare il risultato a due cifre decimali)</t>
  </si>
  <si>
    <t>Qual è l'importo medio di uno scontrino se consideriamo soltanto gli scontrini minori di €106? Puoi arrotondare il risultato a due cifre decimali.</t>
  </si>
  <si>
    <t>Come vedrai, la colonna Città è vuota. Abbiamo però aggiunto i dati relativi alle città nel secondo foglio. Usa una funzione per popolare la colonna Città con i dati provenienti dal secondo foglio.</t>
  </si>
  <si>
    <t>Aggiungi una colonna a destra di Città e chiamala Importo. Aggiungi poi una funzione che ci dia un risultato per ogni riga così che ogni importo maggiore di €63,91 ci restituisca il valore “Alto”, e ciascun importo minore di questa cifra ci restituisca il valore “Basso”.</t>
  </si>
  <si>
    <t>Crea una Tabella Pivot ed aggiungila in un terzo foglio. Aggiungi i mesi nelle righe, i reparti nelle colonne e l’importo scontrino nei valori. Qual è il servizio che ha avuto più vendite? (lascia la tabella qui così saremo in grado di vederla)</t>
  </si>
  <si>
    <t>BONUS IDRICO</t>
  </si>
  <si>
    <t>Inserisci un grafico (quello che riteni più adatto) per visualizzare le vendite su base mensile</t>
  </si>
  <si>
    <t>Guardando il grafico, sai dire durante quale mese ci sono state più vendite?</t>
  </si>
  <si>
    <t>APRILE</t>
  </si>
  <si>
    <t>IMPORTI MENSILI</t>
  </si>
  <si>
    <t>Column Labels</t>
  </si>
  <si>
    <t>&gt;&gt;&gt;</t>
  </si>
  <si>
    <t>Row Labels</t>
  </si>
  <si>
    <t>Sum of Importo Scontrino</t>
  </si>
  <si>
    <t>&lt;&lt;&lt;</t>
  </si>
  <si>
    <t>Grand Total</t>
  </si>
  <si>
    <t>ANCONA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</si>
</sst>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0\ &quot;€&quot;_-;\-* #,##0\ &quot;€&quot;_-;_-* &quot;-&quot;\ &quot;€&quot;_-;_-@_-"/>
    <numFmt numFmtId="44" formatCode="_-* #,##0.00\ &quot;€&quot;_-;\-* #,##0.00\ &quot;€&quot;_-;_-* &quot;-&quot;??\ &quot;€&quot;_-;_-@_-"/>
    <numFmt numFmtId="164" formatCode="[$€-2]\ #,##0.00;[Red]\-[$€-2]\ #,##0.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1"/>
      <color theme="5"/>
      <name val="Calibri"/>
      <family val="2"/>
      <scheme val="minor"/>
    </font>
    <font>
      <b/>
      <sz val="11"/>
      <color theme="4"/>
      <name val="Calibri"/>
      <family val="2"/>
      <scheme val="minor"/>
    </font>
    <font>
      <sz val="14"/>
      <color theme="1"/>
      <name val="Calibri"/>
      <family val="2"/>
      <scheme val="minor"/>
    </font>
    <font>
      <b/>
      <sz val="11"/>
      <color theme="9"/>
      <name val="Calibri"/>
      <family val="2"/>
      <scheme val="minor"/>
    </font>
    <font>
      <b/>
      <sz val="11"/>
      <color rgb="FFFF0000"/>
      <name val="Calibri"/>
      <family val="2"/>
    </font>
    <font>
      <b/>
      <sz val="11"/>
      <color rgb="FFFF0000"/>
      <name val="Calibri"/>
      <family val="2"/>
      <scheme val="minor"/>
    </font>
    <font>
      <sz val="18"/>
      <color rgb="FF25302D"/>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2" borderId="0" xfId="0" applyFill="1"/>
    <xf numFmtId="164" fontId="0" fillId="0" borderId="0" xfId="0" applyNumberFormat="1"/>
    <xf numFmtId="164" fontId="3" fillId="0" borderId="0" xfId="0" applyNumberFormat="1" applyFont="1"/>
    <xf numFmtId="0" fontId="0" fillId="2" borderId="1" xfId="0" applyFill="1" applyBorder="1"/>
    <xf numFmtId="0" fontId="0" fillId="0" borderId="1" xfId="0" applyBorder="1"/>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0" borderId="0" xfId="0" applyFont="1" applyAlignment="1">
      <alignment horizontal="right"/>
    </xf>
    <xf numFmtId="0" fontId="8" fillId="0" borderId="0" xfId="0" applyFont="1" applyAlignment="1">
      <alignment horizontal="left"/>
    </xf>
    <xf numFmtId="0" fontId="0" fillId="0" borderId="1" xfId="0" applyBorder="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44" fontId="2" fillId="0" borderId="2" xfId="0" applyNumberFormat="1" applyFont="1" applyBorder="1" applyAlignment="1">
      <alignment horizontal="center"/>
    </xf>
    <xf numFmtId="44" fontId="2" fillId="0" borderId="3" xfId="0" applyNumberFormat="1" applyFont="1" applyBorder="1" applyAlignment="1">
      <alignment horizontal="center"/>
    </xf>
    <xf numFmtId="44" fontId="2" fillId="0" borderId="4" xfId="0" applyNumberFormat="1" applyFont="1" applyBorder="1" applyAlignment="1">
      <alignment horizontal="center"/>
    </xf>
    <xf numFmtId="44" fontId="2" fillId="0" borderId="2" xfId="1" applyFont="1" applyBorder="1" applyAlignment="1">
      <alignment horizontal="center"/>
    </xf>
    <xf numFmtId="44" fontId="2" fillId="0" borderId="3" xfId="1" applyFont="1" applyBorder="1" applyAlignment="1">
      <alignment horizontal="center"/>
    </xf>
    <xf numFmtId="44" fontId="2" fillId="0" borderId="4" xfId="1" applyFont="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42" fontId="2" fillId="0" borderId="2" xfId="0" applyNumberFormat="1" applyFont="1" applyBorder="1" applyAlignment="1">
      <alignment horizontal="center"/>
    </xf>
    <xf numFmtId="42" fontId="2" fillId="0" borderId="3" xfId="0" applyNumberFormat="1" applyFont="1" applyBorder="1" applyAlignment="1">
      <alignment horizontal="center"/>
    </xf>
    <xf numFmtId="42" fontId="2" fillId="0" borderId="4" xfId="0" applyNumberFormat="1" applyFont="1" applyBorder="1" applyAlignment="1">
      <alignment horizontal="center"/>
    </xf>
    <xf numFmtId="0" fontId="9" fillId="0" borderId="0" xfId="0" applyFont="1"/>
  </cellXfs>
  <cellStyles count="2">
    <cellStyle name="Currency" xfId="1" builtinId="4"/>
    <cellStyle name="Normal" xfId="0" builtinId="0"/>
  </cellStyles>
  <dxfs count="12">
    <dxf>
      <fill>
        <patternFill>
          <bgColor theme="5" tint="0.59996337778862885"/>
        </patternFill>
      </fill>
    </dxf>
    <dxf>
      <fill>
        <patternFill>
          <bgColor theme="5" tint="0.79998168889431442"/>
        </patternFill>
      </fill>
    </dxf>
    <dxf>
      <font>
        <color theme="4"/>
      </font>
      <fill>
        <patternFill>
          <bgColor rgb="FFFBAFAF"/>
        </patternFill>
      </fill>
    </dxf>
    <dxf>
      <font>
        <color rgb="FF006100"/>
      </font>
      <fill>
        <patternFill>
          <bgColor rgb="FFC6EFCE"/>
        </patternFill>
      </fill>
    </dxf>
    <dxf>
      <font>
        <color rgb="FF006100"/>
      </font>
      <fill>
        <patternFill>
          <bgColor rgb="FFC6EFCE"/>
        </patternFill>
      </fill>
    </dxf>
    <dxf>
      <border>
        <vertical style="thin">
          <color indexed="64"/>
        </vertical>
        <horizontal style="thin">
          <color indexed="64"/>
        </horizontal>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left style="thin">
          <color auto="1"/>
        </left>
        <right style="thin">
          <color auto="1"/>
        </right>
        <top style="thin">
          <color auto="1"/>
        </top>
        <bottom style="thin">
          <color auto="1"/>
        </bottom>
      </border>
    </dxf>
    <dxf>
      <numFmt numFmtId="0" formatCode="General"/>
    </dxf>
    <dxf>
      <numFmt numFmtId="164" formatCode="[$€-2]\ #,##0.00;[Red]\-[$€-2]\ #,##0.00"/>
    </dxf>
    <dxf>
      <fill>
        <patternFill patternType="solid">
          <fgColor indexed="64"/>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it-IT" sz="1800" b="1" baseline="0">
                <a:solidFill>
                  <a:sysClr val="windowText" lastClr="000000"/>
                </a:solidFill>
                <a:latin typeface="+mn-lt"/>
              </a:rPr>
              <a:t>Andamento mensile degli importi</a:t>
            </a:r>
          </a:p>
        </c:rich>
      </c:tx>
      <c:layout>
        <c:manualLayout>
          <c:xMode val="edge"/>
          <c:yMode val="edge"/>
          <c:x val="0.13161700619678379"/>
          <c:y val="2.675885154117436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it-IT"/>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col"/>
        <c:grouping val="stacked"/>
        <c:varyColors val="0"/>
        <c:ser>
          <c:idx val="0"/>
          <c:order val="0"/>
          <c:tx>
            <c:v>Bonus Elettrico</c:v>
          </c:tx>
          <c:spPr>
            <a:solidFill>
              <a:schemeClr val="accent1">
                <a:shade val="53000"/>
              </a:schemeClr>
            </a:solidFill>
            <a:ln>
              <a:noFill/>
            </a:ln>
            <a:effectLst/>
          </c:spPr>
          <c:invertIfNegative val="0"/>
          <c:cat>
            <c:strLit>
              <c:ptCount val="11"/>
              <c:pt idx="0">
                <c:v>gennaio</c:v>
              </c:pt>
              <c:pt idx="1">
                <c:v>febbraio</c:v>
              </c:pt>
              <c:pt idx="2">
                <c:v>marzo</c:v>
              </c:pt>
              <c:pt idx="3">
                <c:v>aprile</c:v>
              </c:pt>
              <c:pt idx="4">
                <c:v>maggio</c:v>
              </c:pt>
              <c:pt idx="5">
                <c:v>giugno</c:v>
              </c:pt>
              <c:pt idx="6">
                <c:v>luglio</c:v>
              </c:pt>
              <c:pt idx="7">
                <c:v>agosto</c:v>
              </c:pt>
              <c:pt idx="8">
                <c:v>settembre</c:v>
              </c:pt>
              <c:pt idx="9">
                <c:v>novembre</c:v>
              </c:pt>
              <c:pt idx="10">
                <c:v>dicembre</c:v>
              </c:pt>
            </c:strLit>
          </c:cat>
          <c:val>
            <c:numLit>
              <c:formatCode>General</c:formatCode>
              <c:ptCount val="11"/>
              <c:pt idx="0">
                <c:v>0</c:v>
              </c:pt>
              <c:pt idx="1">
                <c:v>52.47</c:v>
              </c:pt>
              <c:pt idx="2">
                <c:v>10.3</c:v>
              </c:pt>
              <c:pt idx="3">
                <c:v>0</c:v>
              </c:pt>
              <c:pt idx="4">
                <c:v>140.12</c:v>
              </c:pt>
              <c:pt idx="5">
                <c:v>0</c:v>
              </c:pt>
              <c:pt idx="6">
                <c:v>0</c:v>
              </c:pt>
              <c:pt idx="7">
                <c:v>113.1</c:v>
              </c:pt>
              <c:pt idx="8">
                <c:v>0</c:v>
              </c:pt>
              <c:pt idx="9">
                <c:v>0</c:v>
              </c:pt>
              <c:pt idx="10">
                <c:v>0</c:v>
              </c:pt>
            </c:numLit>
          </c:val>
          <c:extLst>
            <c:ext xmlns:c16="http://schemas.microsoft.com/office/drawing/2014/chart" uri="{C3380CC4-5D6E-409C-BE32-E72D297353CC}">
              <c16:uniqueId val="{00000000-DCBA-4012-BF69-D0E371BB4B56}"/>
            </c:ext>
          </c:extLst>
        </c:ser>
        <c:ser>
          <c:idx val="1"/>
          <c:order val="1"/>
          <c:tx>
            <c:v>Bonus Gas</c:v>
          </c:tx>
          <c:spPr>
            <a:solidFill>
              <a:schemeClr val="accent1">
                <a:shade val="76000"/>
              </a:schemeClr>
            </a:solidFill>
            <a:ln>
              <a:noFill/>
            </a:ln>
            <a:effectLst/>
          </c:spPr>
          <c:invertIfNegative val="0"/>
          <c:cat>
            <c:strLit>
              <c:ptCount val="11"/>
              <c:pt idx="0">
                <c:v>gennaio</c:v>
              </c:pt>
              <c:pt idx="1">
                <c:v>febbraio</c:v>
              </c:pt>
              <c:pt idx="2">
                <c:v>marzo</c:v>
              </c:pt>
              <c:pt idx="3">
                <c:v>aprile</c:v>
              </c:pt>
              <c:pt idx="4">
                <c:v>maggio</c:v>
              </c:pt>
              <c:pt idx="5">
                <c:v>giugno</c:v>
              </c:pt>
              <c:pt idx="6">
                <c:v>luglio</c:v>
              </c:pt>
              <c:pt idx="7">
                <c:v>agosto</c:v>
              </c:pt>
              <c:pt idx="8">
                <c:v>settembre</c:v>
              </c:pt>
              <c:pt idx="9">
                <c:v>novembre</c:v>
              </c:pt>
              <c:pt idx="10">
                <c:v>dicembre</c:v>
              </c:pt>
            </c:strLit>
          </c:cat>
          <c:val>
            <c:numLit>
              <c:formatCode>General</c:formatCode>
              <c:ptCount val="11"/>
              <c:pt idx="0">
                <c:v>38.04</c:v>
              </c:pt>
              <c:pt idx="1">
                <c:v>0</c:v>
              </c:pt>
              <c:pt idx="2">
                <c:v>0</c:v>
              </c:pt>
              <c:pt idx="3">
                <c:v>100.80000000000001</c:v>
              </c:pt>
              <c:pt idx="4">
                <c:v>0</c:v>
              </c:pt>
              <c:pt idx="5">
                <c:v>35.130000000000003</c:v>
              </c:pt>
              <c:pt idx="6">
                <c:v>0</c:v>
              </c:pt>
              <c:pt idx="7">
                <c:v>0</c:v>
              </c:pt>
              <c:pt idx="8">
                <c:v>0</c:v>
              </c:pt>
              <c:pt idx="9">
                <c:v>0</c:v>
              </c:pt>
              <c:pt idx="10">
                <c:v>0</c:v>
              </c:pt>
            </c:numLit>
          </c:val>
          <c:extLst>
            <c:ext xmlns:c16="http://schemas.microsoft.com/office/drawing/2014/chart" uri="{C3380CC4-5D6E-409C-BE32-E72D297353CC}">
              <c16:uniqueId val="{00000001-DCBA-4012-BF69-D0E371BB4B56}"/>
            </c:ext>
          </c:extLst>
        </c:ser>
        <c:ser>
          <c:idx val="2"/>
          <c:order val="2"/>
          <c:tx>
            <c:v>Bonus Idrico</c:v>
          </c:tx>
          <c:spPr>
            <a:solidFill>
              <a:schemeClr val="accent1"/>
            </a:solidFill>
            <a:ln>
              <a:noFill/>
            </a:ln>
            <a:effectLst/>
          </c:spPr>
          <c:invertIfNegative val="0"/>
          <c:cat>
            <c:strLit>
              <c:ptCount val="11"/>
              <c:pt idx="0">
                <c:v>gennaio</c:v>
              </c:pt>
              <c:pt idx="1">
                <c:v>febbraio</c:v>
              </c:pt>
              <c:pt idx="2">
                <c:v>marzo</c:v>
              </c:pt>
              <c:pt idx="3">
                <c:v>aprile</c:v>
              </c:pt>
              <c:pt idx="4">
                <c:v>maggio</c:v>
              </c:pt>
              <c:pt idx="5">
                <c:v>giugno</c:v>
              </c:pt>
              <c:pt idx="6">
                <c:v>luglio</c:v>
              </c:pt>
              <c:pt idx="7">
                <c:v>agosto</c:v>
              </c:pt>
              <c:pt idx="8">
                <c:v>settembre</c:v>
              </c:pt>
              <c:pt idx="9">
                <c:v>novembre</c:v>
              </c:pt>
              <c:pt idx="10">
                <c:v>dicembre</c:v>
              </c:pt>
            </c:strLit>
          </c:cat>
          <c:val>
            <c:numLit>
              <c:formatCode>General</c:formatCode>
              <c:ptCount val="11"/>
              <c:pt idx="0">
                <c:v>0</c:v>
              </c:pt>
              <c:pt idx="1">
                <c:v>32.15</c:v>
              </c:pt>
              <c:pt idx="2">
                <c:v>0</c:v>
              </c:pt>
              <c:pt idx="3">
                <c:v>108</c:v>
              </c:pt>
              <c:pt idx="4">
                <c:v>0</c:v>
              </c:pt>
              <c:pt idx="5">
                <c:v>144.63999999999999</c:v>
              </c:pt>
              <c:pt idx="6">
                <c:v>0</c:v>
              </c:pt>
              <c:pt idx="7">
                <c:v>55.1</c:v>
              </c:pt>
              <c:pt idx="8">
                <c:v>99.64</c:v>
              </c:pt>
              <c:pt idx="9">
                <c:v>0</c:v>
              </c:pt>
              <c:pt idx="10">
                <c:v>0</c:v>
              </c:pt>
            </c:numLit>
          </c:val>
          <c:extLst>
            <c:ext xmlns:c16="http://schemas.microsoft.com/office/drawing/2014/chart" uri="{C3380CC4-5D6E-409C-BE32-E72D297353CC}">
              <c16:uniqueId val="{00000002-DCBA-4012-BF69-D0E371BB4B56}"/>
            </c:ext>
          </c:extLst>
        </c:ser>
        <c:ser>
          <c:idx val="3"/>
          <c:order val="3"/>
          <c:tx>
            <c:v>ISEE</c:v>
          </c:tx>
          <c:spPr>
            <a:solidFill>
              <a:schemeClr val="accent1">
                <a:tint val="77000"/>
              </a:schemeClr>
            </a:solidFill>
            <a:ln>
              <a:noFill/>
            </a:ln>
            <a:effectLst/>
          </c:spPr>
          <c:invertIfNegative val="0"/>
          <c:cat>
            <c:strLit>
              <c:ptCount val="11"/>
              <c:pt idx="0">
                <c:v>gennaio</c:v>
              </c:pt>
              <c:pt idx="1">
                <c:v>febbraio</c:v>
              </c:pt>
              <c:pt idx="2">
                <c:v>marzo</c:v>
              </c:pt>
              <c:pt idx="3">
                <c:v>aprile</c:v>
              </c:pt>
              <c:pt idx="4">
                <c:v>maggio</c:v>
              </c:pt>
              <c:pt idx="5">
                <c:v>giugno</c:v>
              </c:pt>
              <c:pt idx="6">
                <c:v>luglio</c:v>
              </c:pt>
              <c:pt idx="7">
                <c:v>agosto</c:v>
              </c:pt>
              <c:pt idx="8">
                <c:v>settembre</c:v>
              </c:pt>
              <c:pt idx="9">
                <c:v>novembre</c:v>
              </c:pt>
              <c:pt idx="10">
                <c:v>dicembre</c:v>
              </c:pt>
            </c:strLit>
          </c:cat>
          <c:val>
            <c:numLit>
              <c:formatCode>General</c:formatCode>
              <c:ptCount val="11"/>
              <c:pt idx="0">
                <c:v>110.15</c:v>
              </c:pt>
              <c:pt idx="1">
                <c:v>0</c:v>
              </c:pt>
              <c:pt idx="2">
                <c:v>0</c:v>
              </c:pt>
              <c:pt idx="3">
                <c:v>14.03</c:v>
              </c:pt>
              <c:pt idx="4">
                <c:v>23.31</c:v>
              </c:pt>
              <c:pt idx="5">
                <c:v>0</c:v>
              </c:pt>
              <c:pt idx="6">
                <c:v>35.71</c:v>
              </c:pt>
              <c:pt idx="7">
                <c:v>0</c:v>
              </c:pt>
              <c:pt idx="8">
                <c:v>2.64</c:v>
              </c:pt>
              <c:pt idx="9">
                <c:v>66.98</c:v>
              </c:pt>
              <c:pt idx="10">
                <c:v>0</c:v>
              </c:pt>
            </c:numLit>
          </c:val>
          <c:extLst>
            <c:ext xmlns:c16="http://schemas.microsoft.com/office/drawing/2014/chart" uri="{C3380CC4-5D6E-409C-BE32-E72D297353CC}">
              <c16:uniqueId val="{00000003-DCBA-4012-BF69-D0E371BB4B56}"/>
            </c:ext>
          </c:extLst>
        </c:ser>
        <c:ser>
          <c:idx val="4"/>
          <c:order val="4"/>
          <c:tx>
            <c:v>RdC</c:v>
          </c:tx>
          <c:spPr>
            <a:solidFill>
              <a:schemeClr val="accent1">
                <a:tint val="54000"/>
              </a:schemeClr>
            </a:solidFill>
            <a:ln>
              <a:noFill/>
            </a:ln>
            <a:effectLst/>
          </c:spPr>
          <c:invertIfNegative val="0"/>
          <c:cat>
            <c:strLit>
              <c:ptCount val="11"/>
              <c:pt idx="0">
                <c:v>gennaio</c:v>
              </c:pt>
              <c:pt idx="1">
                <c:v>febbraio</c:v>
              </c:pt>
              <c:pt idx="2">
                <c:v>marzo</c:v>
              </c:pt>
              <c:pt idx="3">
                <c:v>aprile</c:v>
              </c:pt>
              <c:pt idx="4">
                <c:v>maggio</c:v>
              </c:pt>
              <c:pt idx="5">
                <c:v>giugno</c:v>
              </c:pt>
              <c:pt idx="6">
                <c:v>luglio</c:v>
              </c:pt>
              <c:pt idx="7">
                <c:v>agosto</c:v>
              </c:pt>
              <c:pt idx="8">
                <c:v>settembre</c:v>
              </c:pt>
              <c:pt idx="9">
                <c:v>novembre</c:v>
              </c:pt>
              <c:pt idx="10">
                <c:v>dicembre</c:v>
              </c:pt>
            </c:strLit>
          </c:cat>
          <c:val>
            <c:numLit>
              <c:formatCode>General</c:formatCode>
              <c:ptCount val="11"/>
              <c:pt idx="0">
                <c:v>140.69999999999999</c:v>
              </c:pt>
              <c:pt idx="1">
                <c:v>0</c:v>
              </c:pt>
              <c:pt idx="2">
                <c:v>31.11</c:v>
              </c:pt>
              <c:pt idx="3">
                <c:v>104.42</c:v>
              </c:pt>
              <c:pt idx="4">
                <c:v>0</c:v>
              </c:pt>
              <c:pt idx="5">
                <c:v>0</c:v>
              </c:pt>
              <c:pt idx="6">
                <c:v>0</c:v>
              </c:pt>
              <c:pt idx="7">
                <c:v>0</c:v>
              </c:pt>
              <c:pt idx="8">
                <c:v>0</c:v>
              </c:pt>
              <c:pt idx="9">
                <c:v>0</c:v>
              </c:pt>
              <c:pt idx="10">
                <c:v>139.11000000000001</c:v>
              </c:pt>
            </c:numLit>
          </c:val>
          <c:extLst>
            <c:ext xmlns:c16="http://schemas.microsoft.com/office/drawing/2014/chart" uri="{C3380CC4-5D6E-409C-BE32-E72D297353CC}">
              <c16:uniqueId val="{00000004-DCBA-4012-BF69-D0E371BB4B56}"/>
            </c:ext>
          </c:extLst>
        </c:ser>
        <c:dLbls>
          <c:showLegendKey val="0"/>
          <c:showVal val="0"/>
          <c:showCatName val="0"/>
          <c:showSerName val="0"/>
          <c:showPercent val="0"/>
          <c:showBubbleSize val="0"/>
        </c:dLbls>
        <c:gapWidth val="150"/>
        <c:overlap val="100"/>
        <c:axId val="2071552991"/>
        <c:axId val="157023663"/>
      </c:barChart>
      <c:catAx>
        <c:axId val="207155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it-IT"/>
          </a:p>
        </c:txPr>
        <c:crossAx val="157023663"/>
        <c:crosses val="autoZero"/>
        <c:auto val="1"/>
        <c:lblAlgn val="ctr"/>
        <c:lblOffset val="100"/>
        <c:noMultiLvlLbl val="0"/>
      </c:catAx>
      <c:valAx>
        <c:axId val="1570236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7155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pattFill prst="pct70">
      <a:fgClr>
        <a:schemeClr val="bg1">
          <a:lumMod val="95000"/>
        </a:schemeClr>
      </a:fgClr>
      <a:bgClr>
        <a:schemeClr val="bg1"/>
      </a:bgClr>
    </a:patt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it-IT">
                <a:solidFill>
                  <a:sysClr val="windowText" lastClr="000000"/>
                </a:solidFill>
              </a:rPr>
              <a:t>Distribuzione percentuale dei servizi </a:t>
            </a:r>
          </a:p>
        </c:rich>
      </c:tx>
      <c:layout>
        <c:manualLayout>
          <c:xMode val="edge"/>
          <c:yMode val="edge"/>
          <c:x val="0.11699365996844123"/>
          <c:y val="2.2096106347635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it-IT"/>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5">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8D-4162-A867-42D97EEEE3C0}"/>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8D-4162-A867-42D97EEEE3C0}"/>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B8D-4162-A867-42D97EEEE3C0}"/>
              </c:ext>
            </c:extLst>
          </c:dPt>
          <c:dPt>
            <c:idx val="3"/>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B8D-4162-A867-42D97EEEE3C0}"/>
              </c:ext>
            </c:extLst>
          </c:dPt>
          <c:dPt>
            <c:idx val="4"/>
            <c:bubble3D val="0"/>
            <c:spPr>
              <a:solidFill>
                <a:schemeClr val="accent5">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B8D-4162-A867-42D97EEEE3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t-IT"/>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5"/>
              <c:pt idx="0">
                <c:v>Bonus Elettrico</c:v>
              </c:pt>
              <c:pt idx="1">
                <c:v>Bonus Gas</c:v>
              </c:pt>
              <c:pt idx="2">
                <c:v>Bonus Idrico</c:v>
              </c:pt>
              <c:pt idx="3">
                <c:v>ISEE</c:v>
              </c:pt>
              <c:pt idx="4">
                <c:v>RdC</c:v>
              </c:pt>
            </c:strLit>
          </c:cat>
          <c:val>
            <c:numLit>
              <c:formatCode>General</c:formatCode>
              <c:ptCount val="5"/>
              <c:pt idx="0">
                <c:v>315.99</c:v>
              </c:pt>
              <c:pt idx="1">
                <c:v>173.97</c:v>
              </c:pt>
              <c:pt idx="2">
                <c:v>439.53</c:v>
              </c:pt>
              <c:pt idx="3">
                <c:v>252.82000000000002</c:v>
              </c:pt>
              <c:pt idx="4">
                <c:v>415.34</c:v>
              </c:pt>
            </c:numLit>
          </c:val>
          <c:extLst>
            <c:ext xmlns:c16="http://schemas.microsoft.com/office/drawing/2014/chart" uri="{C3380CC4-5D6E-409C-BE32-E72D297353CC}">
              <c16:uniqueId val="{0000000A-3B8D-4162-A867-42D97EEEE3C0}"/>
            </c:ext>
          </c:extLst>
        </c:ser>
        <c:dLbls>
          <c:dLblPos val="inEnd"/>
          <c:showLegendKey val="0"/>
          <c:showVal val="0"/>
          <c:showCatName val="0"/>
          <c:showSerName val="0"/>
          <c:showPercent val="1"/>
          <c:showBubbleSize val="0"/>
          <c:showLeaderLines val="1"/>
        </c:dLbls>
        <c:firstSliceAng val="0"/>
      </c:pieChart>
      <c:spPr>
        <a:noFill/>
        <a:ln cmpd="sng">
          <a:noFill/>
          <a:prstDash val="dash"/>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it-IT"/>
        </a:p>
      </c:txPr>
    </c:legend>
    <c:plotVisOnly val="1"/>
    <c:dispBlanksAs val="gap"/>
    <c:showDLblsOverMax val="0"/>
  </c:chart>
  <c:spPr>
    <a:pattFill prst="dkDnDiag">
      <a:fgClr>
        <a:schemeClr val="lt1">
          <a:lumMod val="95000"/>
        </a:schemeClr>
      </a:fgClr>
      <a:bgClr>
        <a:schemeClr val="lt1"/>
      </a:bgClr>
    </a:pattFill>
    <a:ln w="9525" cap="flat" cmpd="thickThin" algn="ctr">
      <a:solidFill>
        <a:schemeClr val="dk1">
          <a:lumMod val="15000"/>
          <a:lumOff val="85000"/>
        </a:schemeClr>
      </a:solidFill>
      <a:round/>
    </a:ln>
    <a:effectLst>
      <a:glow rad="127000">
        <a:schemeClr val="bg1"/>
      </a:glow>
    </a:effectLst>
  </c:spPr>
  <c:txPr>
    <a:bodyPr/>
    <a:lstStyle/>
    <a:p>
      <a:pPr>
        <a:defRPr/>
      </a:pPr>
      <a:endParaRPr lang="it-I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13819</xdr:colOff>
      <xdr:row>0</xdr:row>
      <xdr:rowOff>2</xdr:rowOff>
    </xdr:from>
    <xdr:to>
      <xdr:col>8</xdr:col>
      <xdr:colOff>466117</xdr:colOff>
      <xdr:row>9</xdr:row>
      <xdr:rowOff>1</xdr:rowOff>
    </xdr:to>
    <mc:AlternateContent xmlns:mc="http://schemas.openxmlformats.org/markup-compatibility/2006" xmlns:sle15="http://schemas.microsoft.com/office/drawing/2012/slicer">
      <mc:Choice Requires="sle15">
        <xdr:graphicFrame macro="">
          <xdr:nvGraphicFramePr>
            <xdr:cNvPr id="2" name="Provincia">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rovincia"/>
            </a:graphicData>
          </a:graphic>
        </xdr:graphicFrame>
      </mc:Choice>
      <mc:Fallback xmlns="">
        <xdr:sp macro="" textlink="">
          <xdr:nvSpPr>
            <xdr:cNvPr id="0" name=""/>
            <xdr:cNvSpPr>
              <a:spLocks noTextEdit="1"/>
            </xdr:cNvSpPr>
          </xdr:nvSpPr>
          <xdr:spPr>
            <a:xfrm>
              <a:off x="9471584" y="2"/>
              <a:ext cx="1565415" cy="1613646"/>
            </a:xfrm>
            <a:prstGeom prst="rect">
              <a:avLst/>
            </a:prstGeom>
            <a:solidFill>
              <a:prstClr val="white"/>
            </a:solidFill>
            <a:ln w="1">
              <a:solidFill>
                <a:prstClr val="green"/>
              </a:solidFill>
            </a:ln>
          </xdr:spPr>
          <xdr:txBody>
            <a:bodyPr vertOverflow="clip" horzOverflow="clip"/>
            <a:lstStyle/>
            <a:p>
              <a:r>
                <a:rPr lang="it-I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13654</xdr:colOff>
      <xdr:row>9</xdr:row>
      <xdr:rowOff>1078</xdr:rowOff>
    </xdr:from>
    <xdr:to>
      <xdr:col>8</xdr:col>
      <xdr:colOff>468688</xdr:colOff>
      <xdr:row>19</xdr:row>
      <xdr:rowOff>22860</xdr:rowOff>
    </xdr:to>
    <mc:AlternateContent xmlns:mc="http://schemas.openxmlformats.org/markup-compatibility/2006" xmlns:sle15="http://schemas.microsoft.com/office/drawing/2012/slicer">
      <mc:Choice Requires="sle15">
        <xdr:graphicFrame macro="">
          <xdr:nvGraphicFramePr>
            <xdr:cNvPr id="3" name="Mes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Mese"/>
            </a:graphicData>
          </a:graphic>
        </xdr:graphicFrame>
      </mc:Choice>
      <mc:Fallback xmlns="">
        <xdr:sp macro="" textlink="">
          <xdr:nvSpPr>
            <xdr:cNvPr id="0" name=""/>
            <xdr:cNvSpPr>
              <a:spLocks noTextEdit="1"/>
            </xdr:cNvSpPr>
          </xdr:nvSpPr>
          <xdr:spPr>
            <a:xfrm>
              <a:off x="9471419" y="1614725"/>
              <a:ext cx="1568151" cy="1814723"/>
            </a:xfrm>
            <a:prstGeom prst="rect">
              <a:avLst/>
            </a:prstGeom>
            <a:solidFill>
              <a:prstClr val="white"/>
            </a:solidFill>
            <a:ln w="1">
              <a:solidFill>
                <a:prstClr val="green"/>
              </a:solidFill>
            </a:ln>
          </xdr:spPr>
          <xdr:txBody>
            <a:bodyPr vertOverflow="clip" horzOverflow="clip"/>
            <a:lstStyle/>
            <a:p>
              <a:r>
                <a:rPr lang="it-I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14418</xdr:colOff>
      <xdr:row>19</xdr:row>
      <xdr:rowOff>22412</xdr:rowOff>
    </xdr:from>
    <xdr:to>
      <xdr:col>8</xdr:col>
      <xdr:colOff>470647</xdr:colOff>
      <xdr:row>26</xdr:row>
      <xdr:rowOff>22195</xdr:rowOff>
    </xdr:to>
    <mc:AlternateContent xmlns:mc="http://schemas.openxmlformats.org/markup-compatibility/2006" xmlns:sle15="http://schemas.microsoft.com/office/drawing/2012/slicer">
      <mc:Choice Requires="sle15">
        <xdr:graphicFrame macro="">
          <xdr:nvGraphicFramePr>
            <xdr:cNvPr id="4" name="Servizio">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Servizio"/>
            </a:graphicData>
          </a:graphic>
        </xdr:graphicFrame>
      </mc:Choice>
      <mc:Fallback xmlns="">
        <xdr:sp macro="" textlink="">
          <xdr:nvSpPr>
            <xdr:cNvPr id="0" name=""/>
            <xdr:cNvSpPr>
              <a:spLocks noTextEdit="1"/>
            </xdr:cNvSpPr>
          </xdr:nvSpPr>
          <xdr:spPr>
            <a:xfrm>
              <a:off x="9472183" y="3429000"/>
              <a:ext cx="1569346" cy="1254842"/>
            </a:xfrm>
            <a:prstGeom prst="rect">
              <a:avLst/>
            </a:prstGeom>
            <a:solidFill>
              <a:prstClr val="white"/>
            </a:solidFill>
            <a:ln w="1">
              <a:solidFill>
                <a:prstClr val="green"/>
              </a:solidFill>
            </a:ln>
          </xdr:spPr>
          <xdr:txBody>
            <a:bodyPr vertOverflow="clip" horzOverflow="clip"/>
            <a:lstStyle/>
            <a:p>
              <a:r>
                <a:rPr lang="it-I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47134</xdr:colOff>
      <xdr:row>22</xdr:row>
      <xdr:rowOff>7855</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62845</xdr:colOff>
      <xdr:row>0</xdr:row>
      <xdr:rowOff>0</xdr:rowOff>
    </xdr:from>
    <xdr:to>
      <xdr:col>20</xdr:col>
      <xdr:colOff>102124</xdr:colOff>
      <xdr:row>21</xdr:row>
      <xdr:rowOff>180679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io/Desktop/Book1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o Fernando" refreshedDate="45753.133396874997" createdVersion="6" refreshedVersion="6" minRefreshableVersion="3" recordCount="25" xr:uid="{00000000-000A-0000-FFFF-FFFF01000000}">
  <cacheSource type="worksheet">
    <worksheetSource ref="C1:G26" sheet="Lifestyle Bonus Statali" r:id="rId2"/>
  </cacheSource>
  <cacheFields count="5">
    <cacheField name="Mese" numFmtId="0">
      <sharedItems count="11">
        <s v="settembre"/>
        <s v="marzo"/>
        <s v="aprile"/>
        <s v="maggio"/>
        <s v="febbraio"/>
        <s v="giugno"/>
        <s v="luglio"/>
        <s v="gennaio"/>
        <s v="agosto"/>
        <s v="novembre"/>
        <s v="dicembre"/>
      </sharedItems>
    </cacheField>
    <cacheField name="Importo Scontrino" numFmtId="0">
      <sharedItems containsSemiMixedTypes="0" containsString="0" containsNumber="1" minValue="2.64" maxValue="140.69999999999999"/>
    </cacheField>
    <cacheField name="Servizio" numFmtId="0">
      <sharedItems count="5">
        <s v="ISEE"/>
        <s v="Bonus Elettrico"/>
        <s v="RdC"/>
        <s v="Bonus Idrico"/>
        <s v="Bonus Gas"/>
      </sharedItems>
    </cacheField>
    <cacheField name="Città" numFmtId="0">
      <sharedItems/>
    </cacheField>
    <cacheField name="Import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
  <r>
    <x v="0"/>
    <n v="2.64"/>
    <x v="0"/>
    <s v="Fermo"/>
    <s v="Basso"/>
  </r>
  <r>
    <x v="1"/>
    <n v="10.3"/>
    <x v="1"/>
    <s v="Fermo"/>
    <s v="Basso"/>
  </r>
  <r>
    <x v="2"/>
    <n v="12"/>
    <x v="2"/>
    <s v="Fermo"/>
    <s v="Basso"/>
  </r>
  <r>
    <x v="2"/>
    <n v="14.03"/>
    <x v="0"/>
    <s v="Fermo"/>
    <s v="Basso"/>
  </r>
  <r>
    <x v="3"/>
    <n v="23.31"/>
    <x v="0"/>
    <s v="Fermo"/>
    <s v="Basso"/>
  </r>
  <r>
    <x v="1"/>
    <n v="31.11"/>
    <x v="2"/>
    <s v="Fermo"/>
    <s v="Basso"/>
  </r>
  <r>
    <x v="4"/>
    <n v="32.15"/>
    <x v="3"/>
    <s v="Fermo"/>
    <s v="Basso"/>
  </r>
  <r>
    <x v="5"/>
    <n v="35.130000000000003"/>
    <x v="4"/>
    <s v="Ancona"/>
    <s v="Basso"/>
  </r>
  <r>
    <x v="6"/>
    <n v="35.71"/>
    <x v="0"/>
    <s v="Fermo"/>
    <s v="Basso"/>
  </r>
  <r>
    <x v="7"/>
    <n v="38.04"/>
    <x v="4"/>
    <s v="Fermo"/>
    <s v="Basso"/>
  </r>
  <r>
    <x v="2"/>
    <n v="47.7"/>
    <x v="4"/>
    <s v="Fermo"/>
    <s v="Basso"/>
  </r>
  <r>
    <x v="5"/>
    <n v="52.16"/>
    <x v="3"/>
    <s v="Ancona"/>
    <s v="Basso"/>
  </r>
  <r>
    <x v="4"/>
    <n v="52.47"/>
    <x v="1"/>
    <s v="Pesaro"/>
    <s v="Basso"/>
  </r>
  <r>
    <x v="2"/>
    <n v="53.1"/>
    <x v="4"/>
    <s v="Fermo"/>
    <s v="Basso"/>
  </r>
  <r>
    <x v="8"/>
    <n v="55.1"/>
    <x v="3"/>
    <s v="Fermo"/>
    <s v="Basso"/>
  </r>
  <r>
    <x v="9"/>
    <n v="66.98"/>
    <x v="0"/>
    <s v="Fermo"/>
    <s v="Alto"/>
  </r>
  <r>
    <x v="2"/>
    <n v="92.42"/>
    <x v="2"/>
    <s v="Fermo"/>
    <s v="Alto"/>
  </r>
  <r>
    <x v="5"/>
    <n v="92.48"/>
    <x v="3"/>
    <s v="Ascoli"/>
    <s v="Alto"/>
  </r>
  <r>
    <x v="0"/>
    <n v="99.64"/>
    <x v="3"/>
    <s v="Macerata"/>
    <s v="Alto"/>
  </r>
  <r>
    <x v="2"/>
    <n v="108"/>
    <x v="3"/>
    <s v="Fermo"/>
    <s v="Alto"/>
  </r>
  <r>
    <x v="7"/>
    <n v="110.15"/>
    <x v="0"/>
    <s v="Fermo"/>
    <s v="Alto"/>
  </r>
  <r>
    <x v="8"/>
    <n v="113.1"/>
    <x v="1"/>
    <s v="Macerata"/>
    <s v="Alto"/>
  </r>
  <r>
    <x v="10"/>
    <n v="139.11000000000001"/>
    <x v="2"/>
    <s v="Macerata"/>
    <s v="Alto"/>
  </r>
  <r>
    <x v="3"/>
    <n v="140.12"/>
    <x v="1"/>
    <s v="Fermo"/>
    <s v="Alto"/>
  </r>
  <r>
    <x v="7"/>
    <n v="140.69999999999999"/>
    <x v="2"/>
    <s v="Fermo"/>
    <s v="Alt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J1:K7" firstHeaderRow="1" firstDataRow="1" firstDataCol="1"/>
  <pivotFields count="5">
    <pivotField showAll="0">
      <items count="12">
        <item x="7"/>
        <item x="4"/>
        <item x="1"/>
        <item x="2"/>
        <item x="3"/>
        <item x="5"/>
        <item x="6"/>
        <item x="8"/>
        <item x="0"/>
        <item x="9"/>
        <item x="10"/>
        <item t="default"/>
      </items>
    </pivotField>
    <pivotField dataField="1" numFmtId="164" showAll="0"/>
    <pivotField axis="axisRow" showAll="0">
      <items count="6">
        <item x="1"/>
        <item x="4"/>
        <item x="3"/>
        <item x="0"/>
        <item x="2"/>
        <item t="default"/>
      </items>
    </pivotField>
    <pivotField showAll="0"/>
    <pivotField showAll="0"/>
  </pivotFields>
  <rowFields count="1">
    <field x="2"/>
  </rowFields>
  <rowItems count="6">
    <i>
      <x/>
    </i>
    <i>
      <x v="1"/>
    </i>
    <i>
      <x v="2"/>
    </i>
    <i>
      <x v="3"/>
    </i>
    <i>
      <x v="4"/>
    </i>
    <i t="grand">
      <x/>
    </i>
  </rowItems>
  <colItems count="1">
    <i/>
  </colItems>
  <dataFields count="1">
    <dataField name="Sum of Importo Scontrino" fld="1" baseField="0" baseItem="0"/>
  </dataFields>
  <formats count="2">
    <format dxfId="6">
      <pivotArea type="all" dataOnly="0" outline="0" fieldPosition="0"/>
    </format>
    <format dxfId="5">
      <pivotArea type="all" dataOnly="0" outline="0" fieldPosition="0"/>
    </format>
  </formats>
  <chartFormats count="1">
    <chartFormat chart="28"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1:G14" firstHeaderRow="1" firstDataRow="2" firstDataCol="1"/>
  <pivotFields count="5">
    <pivotField axis="axisRow" showAll="0">
      <items count="12">
        <item x="7"/>
        <item x="4"/>
        <item x="1"/>
        <item x="2"/>
        <item x="3"/>
        <item x="5"/>
        <item x="6"/>
        <item x="8"/>
        <item x="0"/>
        <item x="9"/>
        <item x="10"/>
        <item t="default"/>
      </items>
    </pivotField>
    <pivotField dataField="1" numFmtId="164" showAll="0"/>
    <pivotField axis="axisCol" showAll="0">
      <items count="6">
        <item x="1"/>
        <item x="4"/>
        <item x="3"/>
        <item x="0"/>
        <item x="2"/>
        <item t="default"/>
      </items>
    </pivotField>
    <pivotField showAll="0"/>
    <pivotField showAll="0"/>
  </pivotFields>
  <rowFields count="1">
    <field x="0"/>
  </rowFields>
  <rowItems count="12">
    <i>
      <x/>
    </i>
    <i>
      <x v="1"/>
    </i>
    <i>
      <x v="2"/>
    </i>
    <i>
      <x v="3"/>
    </i>
    <i>
      <x v="4"/>
    </i>
    <i>
      <x v="5"/>
    </i>
    <i>
      <x v="6"/>
    </i>
    <i>
      <x v="7"/>
    </i>
    <i>
      <x v="8"/>
    </i>
    <i>
      <x v="9"/>
    </i>
    <i>
      <x v="10"/>
    </i>
    <i t="grand">
      <x/>
    </i>
  </rowItems>
  <colFields count="1">
    <field x="2"/>
  </colFields>
  <colItems count="6">
    <i>
      <x/>
    </i>
    <i>
      <x v="1"/>
    </i>
    <i>
      <x v="2"/>
    </i>
    <i>
      <x v="3"/>
    </i>
    <i>
      <x v="4"/>
    </i>
    <i t="grand">
      <x/>
    </i>
  </colItems>
  <dataFields count="1">
    <dataField name="IMPORTI MENSILI" fld="1" baseField="0" baseItem="0"/>
  </dataFields>
  <formats count="2">
    <format dxfId="8">
      <pivotArea type="all" dataOnly="0" outline="0" fieldPosition="0"/>
    </format>
    <format dxfId="7">
      <pivotArea type="all" dataOnly="0" outline="0" fieldPosition="0"/>
    </format>
  </formats>
  <chartFormats count="5">
    <chartFormat chart="21" format="20" series="1">
      <pivotArea type="data" outline="0" fieldPosition="0">
        <references count="2">
          <reference field="4294967294" count="1" selected="0">
            <x v="0"/>
          </reference>
          <reference field="2" count="1" selected="0">
            <x v="0"/>
          </reference>
        </references>
      </pivotArea>
    </chartFormat>
    <chartFormat chart="21" format="21" series="1">
      <pivotArea type="data" outline="0" fieldPosition="0">
        <references count="2">
          <reference field="4294967294" count="1" selected="0">
            <x v="0"/>
          </reference>
          <reference field="2" count="1" selected="0">
            <x v="1"/>
          </reference>
        </references>
      </pivotArea>
    </chartFormat>
    <chartFormat chart="21" format="22" series="1">
      <pivotArea type="data" outline="0" fieldPosition="0">
        <references count="2">
          <reference field="4294967294" count="1" selected="0">
            <x v="0"/>
          </reference>
          <reference field="2" count="1" selected="0">
            <x v="2"/>
          </reference>
        </references>
      </pivotArea>
    </chartFormat>
    <chartFormat chart="21" format="23" series="1">
      <pivotArea type="data" outline="0" fieldPosition="0">
        <references count="2">
          <reference field="4294967294" count="1" selected="0">
            <x v="0"/>
          </reference>
          <reference field="2" count="1" selected="0">
            <x v="3"/>
          </reference>
        </references>
      </pivotArea>
    </chartFormat>
    <chartFormat chart="21" format="2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ia" xr10:uid="{00000000-0013-0000-FFFF-FFFF01000000}" sourceName="Provincia">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se" xr10:uid="{00000000-0013-0000-FFFF-FFFF02000000}" sourceName="Mes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zio" xr10:uid="{00000000-0013-0000-FFFF-FFFF03000000}" sourceName="Servizio">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ia" xr10:uid="{00000000-0014-0000-FFFF-FFFF01000000}" cache="Slicer_Provincia" caption="Provincia" rowHeight="234950"/>
  <slicer name="Mese" xr10:uid="{00000000-0014-0000-FFFF-FFFF02000000}" cache="Slicer_Mese" caption="Mese" rowHeight="234950"/>
  <slicer name="Servizio" xr10:uid="{00000000-0014-0000-FFFF-FFFF03000000}" cache="Slicer_Servizio" caption="Servizi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 displayName="Table4" ref="A1:G26" totalsRowShown="0" headerRowDxfId="11">
  <autoFilter ref="A1:G26" xr:uid="{00000000-0009-0000-0100-000001000000}"/>
  <tableColumns count="7">
    <tableColumn id="1" xr3:uid="{00000000-0010-0000-0000-000001000000}" name="# Scontrino"/>
    <tableColumn id="2" xr3:uid="{00000000-0010-0000-0000-000002000000}" name="Provincia"/>
    <tableColumn id="3" xr3:uid="{00000000-0010-0000-0000-000003000000}" name="Mese"/>
    <tableColumn id="4" xr3:uid="{00000000-0010-0000-0000-000004000000}" name="Importo Scontrino" dataDxfId="10"/>
    <tableColumn id="5" xr3:uid="{00000000-0010-0000-0000-000005000000}" name="Servizio"/>
    <tableColumn id="6" xr3:uid="{00000000-0010-0000-0000-000006000000}" name="Città" dataDxfId="9">
      <calculatedColumnFormula>VLOOKUP(Table4[[#This Row],[Provincia]],Città!$A$2:$B$6,2,FALSE)</calculatedColumnFormula>
    </tableColumn>
    <tableColumn id="7" xr3:uid="{00000000-0010-0000-0000-000007000000}" name="Importo">
      <calculatedColumnFormula>IF(D2&gt;63.91,"Alto","Basso")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G26"/>
  <sheetViews>
    <sheetView zoomScale="102" zoomScaleNormal="103" workbookViewId="0">
      <selection activeCell="C33" sqref="C33"/>
    </sheetView>
  </sheetViews>
  <sheetFormatPr baseColWidth="10" defaultColWidth="16.1640625" defaultRowHeight="15" x14ac:dyDescent="0.2"/>
  <cols>
    <col min="1" max="1" width="16.1640625" customWidth="1"/>
    <col min="2" max="2" width="19.5" customWidth="1"/>
    <col min="3" max="3" width="19.6640625" customWidth="1"/>
    <col min="4" max="4" width="22.33203125" customWidth="1"/>
    <col min="5" max="5" width="18.6640625" customWidth="1"/>
    <col min="6" max="6" width="19.5" customWidth="1"/>
    <col min="7" max="7" width="21.83203125" customWidth="1"/>
  </cols>
  <sheetData>
    <row r="1" spans="1:7" x14ac:dyDescent="0.2">
      <c r="A1" s="1" t="s">
        <v>0</v>
      </c>
      <c r="B1" s="1" t="s">
        <v>1</v>
      </c>
      <c r="C1" s="1" t="s">
        <v>2</v>
      </c>
      <c r="D1" s="1" t="s">
        <v>3</v>
      </c>
      <c r="E1" s="1" t="s">
        <v>4</v>
      </c>
      <c r="F1" s="1" t="s">
        <v>5</v>
      </c>
      <c r="G1" s="1" t="s">
        <v>6</v>
      </c>
    </row>
    <row r="2" spans="1:7" x14ac:dyDescent="0.2">
      <c r="A2">
        <v>22</v>
      </c>
      <c r="B2" t="s">
        <v>7</v>
      </c>
      <c r="C2" t="s">
        <v>8</v>
      </c>
      <c r="D2" s="2">
        <v>2.64</v>
      </c>
      <c r="E2" t="s">
        <v>9</v>
      </c>
      <c r="F2" t="str">
        <f>VLOOKUP(Table4[[#This Row],[Provincia]],Città!$A$2:$B$6,2,FALSE)</f>
        <v>Fermo</v>
      </c>
      <c r="G2" t="str">
        <f>IF(D2&gt;63.91,"Alto","Basso")</f>
        <v>Basso</v>
      </c>
    </row>
    <row r="3" spans="1:7" x14ac:dyDescent="0.2">
      <c r="A3">
        <v>7</v>
      </c>
      <c r="B3" t="s">
        <v>7</v>
      </c>
      <c r="C3" t="s">
        <v>10</v>
      </c>
      <c r="D3" s="2">
        <v>10.3</v>
      </c>
      <c r="E3" t="s">
        <v>11</v>
      </c>
      <c r="F3" t="str">
        <f>VLOOKUP(Table4[[#This Row],[Provincia]],Città!$A$2:$B$6,2,FALSE)</f>
        <v>Fermo</v>
      </c>
      <c r="G3" t="str">
        <f t="shared" ref="G3:G26" si="0">IF(D3&gt;63.91,"Alto","Basso")</f>
        <v>Basso</v>
      </c>
    </row>
    <row r="4" spans="1:7" x14ac:dyDescent="0.2">
      <c r="A4">
        <v>13</v>
      </c>
      <c r="B4" t="s">
        <v>7</v>
      </c>
      <c r="C4" t="s">
        <v>12</v>
      </c>
      <c r="D4" s="2">
        <v>12</v>
      </c>
      <c r="E4" t="s">
        <v>13</v>
      </c>
      <c r="F4" t="str">
        <f>VLOOKUP(Table4[[#This Row],[Provincia]],Città!$A$2:$B$6,2,FALSE)</f>
        <v>Fermo</v>
      </c>
      <c r="G4" t="str">
        <f t="shared" si="0"/>
        <v>Basso</v>
      </c>
    </row>
    <row r="5" spans="1:7" x14ac:dyDescent="0.2">
      <c r="A5">
        <v>8</v>
      </c>
      <c r="B5" t="s">
        <v>7</v>
      </c>
      <c r="C5" t="s">
        <v>12</v>
      </c>
      <c r="D5" s="2">
        <v>14.03</v>
      </c>
      <c r="E5" t="s">
        <v>9</v>
      </c>
      <c r="F5" t="str">
        <f>VLOOKUP(Table4[[#This Row],[Provincia]],Città!$A$2:$B$6,2,FALSE)</f>
        <v>Fermo</v>
      </c>
      <c r="G5" t="str">
        <f t="shared" si="0"/>
        <v>Basso</v>
      </c>
    </row>
    <row r="6" spans="1:7" x14ac:dyDescent="0.2">
      <c r="A6">
        <v>15</v>
      </c>
      <c r="B6" t="s">
        <v>7</v>
      </c>
      <c r="C6" t="s">
        <v>14</v>
      </c>
      <c r="D6" s="2">
        <v>23.31</v>
      </c>
      <c r="E6" t="s">
        <v>9</v>
      </c>
      <c r="F6" t="str">
        <f>VLOOKUP(Table4[[#This Row],[Provincia]],Città!$A$2:$B$6,2,FALSE)</f>
        <v>Fermo</v>
      </c>
      <c r="G6" t="str">
        <f t="shared" si="0"/>
        <v>Basso</v>
      </c>
    </row>
    <row r="7" spans="1:7" x14ac:dyDescent="0.2">
      <c r="A7">
        <v>6</v>
      </c>
      <c r="B7" t="s">
        <v>7</v>
      </c>
      <c r="C7" t="s">
        <v>10</v>
      </c>
      <c r="D7" s="2">
        <v>31.11</v>
      </c>
      <c r="E7" t="s">
        <v>13</v>
      </c>
      <c r="F7" t="str">
        <f>VLOOKUP(Table4[[#This Row],[Provincia]],Città!$A$2:$B$6,2,FALSE)</f>
        <v>Fermo</v>
      </c>
      <c r="G7" t="str">
        <f t="shared" si="0"/>
        <v>Basso</v>
      </c>
    </row>
    <row r="8" spans="1:7" x14ac:dyDescent="0.2">
      <c r="A8">
        <v>4</v>
      </c>
      <c r="B8" t="s">
        <v>7</v>
      </c>
      <c r="C8" t="s">
        <v>15</v>
      </c>
      <c r="D8" s="2">
        <v>32.15</v>
      </c>
      <c r="E8" t="s">
        <v>16</v>
      </c>
      <c r="F8" t="str">
        <f>VLOOKUP(Table4[[#This Row],[Provincia]],Città!$A$2:$B$6,2,FALSE)</f>
        <v>Fermo</v>
      </c>
      <c r="G8" t="str">
        <f t="shared" si="0"/>
        <v>Basso</v>
      </c>
    </row>
    <row r="9" spans="1:7" x14ac:dyDescent="0.2">
      <c r="A9">
        <v>17</v>
      </c>
      <c r="B9" t="s">
        <v>17</v>
      </c>
      <c r="C9" t="s">
        <v>18</v>
      </c>
      <c r="D9" s="2">
        <v>35.130000000000003</v>
      </c>
      <c r="E9" t="s">
        <v>19</v>
      </c>
      <c r="F9" t="str">
        <f>VLOOKUP(Table4[[#This Row],[Provincia]],Città!$A$2:$B$6,2,FALSE)</f>
        <v>Ancona</v>
      </c>
      <c r="G9" t="str">
        <f t="shared" si="0"/>
        <v>Basso</v>
      </c>
    </row>
    <row r="10" spans="1:7" x14ac:dyDescent="0.2">
      <c r="A10">
        <v>19</v>
      </c>
      <c r="B10" t="s">
        <v>7</v>
      </c>
      <c r="C10" t="s">
        <v>20</v>
      </c>
      <c r="D10" s="2">
        <v>35.71</v>
      </c>
      <c r="E10" t="s">
        <v>9</v>
      </c>
      <c r="F10" t="str">
        <f>VLOOKUP(Table4[[#This Row],[Provincia]],Città!$A$2:$B$6,2,FALSE)</f>
        <v>Fermo</v>
      </c>
      <c r="G10" t="str">
        <f t="shared" si="0"/>
        <v>Basso</v>
      </c>
    </row>
    <row r="11" spans="1:7" x14ac:dyDescent="0.2">
      <c r="A11">
        <v>2</v>
      </c>
      <c r="B11" t="s">
        <v>7</v>
      </c>
      <c r="C11" t="s">
        <v>21</v>
      </c>
      <c r="D11" s="2">
        <v>38.04</v>
      </c>
      <c r="E11" t="s">
        <v>19</v>
      </c>
      <c r="F11" t="str">
        <f>VLOOKUP(Table4[[#This Row],[Provincia]],Città!$A$2:$B$6,2,FALSE)</f>
        <v>Fermo</v>
      </c>
      <c r="G11" t="str">
        <f t="shared" si="0"/>
        <v>Basso</v>
      </c>
    </row>
    <row r="12" spans="1:7" x14ac:dyDescent="0.2">
      <c r="A12">
        <v>9</v>
      </c>
      <c r="B12" t="s">
        <v>7</v>
      </c>
      <c r="C12" t="s">
        <v>12</v>
      </c>
      <c r="D12" s="2">
        <v>47.7</v>
      </c>
      <c r="E12" t="s">
        <v>19</v>
      </c>
      <c r="F12" t="str">
        <f>VLOOKUP(Table4[[#This Row],[Provincia]],Città!$A$2:$B$6,2,FALSE)</f>
        <v>Fermo</v>
      </c>
      <c r="G12" t="str">
        <f t="shared" si="0"/>
        <v>Basso</v>
      </c>
    </row>
    <row r="13" spans="1:7" x14ac:dyDescent="0.2">
      <c r="A13">
        <v>18</v>
      </c>
      <c r="B13" t="s">
        <v>17</v>
      </c>
      <c r="C13" t="s">
        <v>18</v>
      </c>
      <c r="D13" s="2">
        <v>52.16</v>
      </c>
      <c r="E13" t="s">
        <v>16</v>
      </c>
      <c r="F13" t="str">
        <f>VLOOKUP(Table4[[#This Row],[Provincia]],Città!$A$2:$B$6,2,FALSE)</f>
        <v>Ancona</v>
      </c>
      <c r="G13" t="str">
        <f t="shared" si="0"/>
        <v>Basso</v>
      </c>
    </row>
    <row r="14" spans="1:7" x14ac:dyDescent="0.2">
      <c r="A14">
        <v>5</v>
      </c>
      <c r="B14" t="s">
        <v>22</v>
      </c>
      <c r="C14" t="s">
        <v>15</v>
      </c>
      <c r="D14" s="2">
        <v>52.47</v>
      </c>
      <c r="E14" t="s">
        <v>11</v>
      </c>
      <c r="F14" t="str">
        <f>VLOOKUP(Table4[[#This Row],[Provincia]],Città!$A$2:$B$6,2,FALSE)</f>
        <v>Pesaro</v>
      </c>
      <c r="G14" t="str">
        <f t="shared" si="0"/>
        <v>Basso</v>
      </c>
    </row>
    <row r="15" spans="1:7" x14ac:dyDescent="0.2">
      <c r="A15">
        <v>11</v>
      </c>
      <c r="B15" t="s">
        <v>7</v>
      </c>
      <c r="C15" t="s">
        <v>12</v>
      </c>
      <c r="D15" s="2">
        <v>53.1</v>
      </c>
      <c r="E15" t="s">
        <v>19</v>
      </c>
      <c r="F15" t="str">
        <f>VLOOKUP(Table4[[#This Row],[Provincia]],Città!$A$2:$B$6,2,FALSE)</f>
        <v>Fermo</v>
      </c>
      <c r="G15" t="str">
        <f t="shared" si="0"/>
        <v>Basso</v>
      </c>
    </row>
    <row r="16" spans="1:7" x14ac:dyDescent="0.2">
      <c r="A16">
        <v>21</v>
      </c>
      <c r="B16" t="s">
        <v>7</v>
      </c>
      <c r="C16" t="s">
        <v>23</v>
      </c>
      <c r="D16" s="2">
        <v>55.1</v>
      </c>
      <c r="E16" t="s">
        <v>16</v>
      </c>
      <c r="F16" t="str">
        <f>VLOOKUP(Table4[[#This Row],[Provincia]],Città!$A$2:$B$6,2,FALSE)</f>
        <v>Fermo</v>
      </c>
      <c r="G16" t="str">
        <f t="shared" si="0"/>
        <v>Basso</v>
      </c>
    </row>
    <row r="17" spans="1:7" x14ac:dyDescent="0.2">
      <c r="A17">
        <v>24</v>
      </c>
      <c r="B17" t="s">
        <v>7</v>
      </c>
      <c r="C17" t="s">
        <v>24</v>
      </c>
      <c r="D17" s="2">
        <v>66.98</v>
      </c>
      <c r="E17" t="s">
        <v>9</v>
      </c>
      <c r="F17" t="str">
        <f>VLOOKUP(Table4[[#This Row],[Provincia]],Città!$A$2:$B$6,2,FALSE)</f>
        <v>Fermo</v>
      </c>
      <c r="G17" t="str">
        <f t="shared" si="0"/>
        <v>Alto</v>
      </c>
    </row>
    <row r="18" spans="1:7" x14ac:dyDescent="0.2">
      <c r="A18">
        <v>12</v>
      </c>
      <c r="B18" t="s">
        <v>7</v>
      </c>
      <c r="C18" t="s">
        <v>12</v>
      </c>
      <c r="D18" s="2">
        <v>92.42</v>
      </c>
      <c r="E18" t="s">
        <v>13</v>
      </c>
      <c r="F18" t="str">
        <f>VLOOKUP(Table4[[#This Row],[Provincia]],Città!$A$2:$B$6,2,FALSE)</f>
        <v>Fermo</v>
      </c>
      <c r="G18" t="str">
        <f t="shared" si="0"/>
        <v>Alto</v>
      </c>
    </row>
    <row r="19" spans="1:7" x14ac:dyDescent="0.2">
      <c r="A19">
        <v>16</v>
      </c>
      <c r="B19" t="s">
        <v>25</v>
      </c>
      <c r="C19" t="s">
        <v>18</v>
      </c>
      <c r="D19" s="2">
        <v>92.48</v>
      </c>
      <c r="E19" t="s">
        <v>16</v>
      </c>
      <c r="F19" t="str">
        <f>VLOOKUP(Table4[[#This Row],[Provincia]],Città!$A$2:$B$6,2,FALSE)</f>
        <v>Ascoli</v>
      </c>
      <c r="G19" t="str">
        <f t="shared" si="0"/>
        <v>Alto</v>
      </c>
    </row>
    <row r="20" spans="1:7" x14ac:dyDescent="0.2">
      <c r="A20">
        <v>23</v>
      </c>
      <c r="B20" t="s">
        <v>26</v>
      </c>
      <c r="C20" t="s">
        <v>8</v>
      </c>
      <c r="D20" s="2">
        <v>99.64</v>
      </c>
      <c r="E20" t="s">
        <v>16</v>
      </c>
      <c r="F20" t="str">
        <f>VLOOKUP(Table4[[#This Row],[Provincia]],Città!$A$2:$B$6,2,FALSE)</f>
        <v>Macerata</v>
      </c>
      <c r="G20" t="str">
        <f t="shared" si="0"/>
        <v>Alto</v>
      </c>
    </row>
    <row r="21" spans="1:7" x14ac:dyDescent="0.2">
      <c r="A21">
        <v>10</v>
      </c>
      <c r="B21" t="s">
        <v>7</v>
      </c>
      <c r="C21" t="s">
        <v>12</v>
      </c>
      <c r="D21" s="3">
        <v>108</v>
      </c>
      <c r="E21" t="s">
        <v>16</v>
      </c>
      <c r="F21" t="str">
        <f>VLOOKUP(Table4[[#This Row],[Provincia]],Città!$A$2:$B$6,2,FALSE)</f>
        <v>Fermo</v>
      </c>
      <c r="G21" t="str">
        <f t="shared" si="0"/>
        <v>Alto</v>
      </c>
    </row>
    <row r="22" spans="1:7" x14ac:dyDescent="0.2">
      <c r="A22">
        <v>1</v>
      </c>
      <c r="B22" t="s">
        <v>7</v>
      </c>
      <c r="C22" t="s">
        <v>21</v>
      </c>
      <c r="D22" s="3">
        <v>110.15</v>
      </c>
      <c r="E22" t="s">
        <v>9</v>
      </c>
      <c r="F22" t="str">
        <f>VLOOKUP(Table4[[#This Row],[Provincia]],Città!$A$2:$B$6,2,FALSE)</f>
        <v>Fermo</v>
      </c>
      <c r="G22" t="str">
        <f t="shared" si="0"/>
        <v>Alto</v>
      </c>
    </row>
    <row r="23" spans="1:7" x14ac:dyDescent="0.2">
      <c r="A23">
        <v>20</v>
      </c>
      <c r="B23" t="s">
        <v>26</v>
      </c>
      <c r="C23" t="s">
        <v>23</v>
      </c>
      <c r="D23" s="3">
        <v>113.1</v>
      </c>
      <c r="E23" t="s">
        <v>11</v>
      </c>
      <c r="F23" t="str">
        <f>VLOOKUP(Table4[[#This Row],[Provincia]],Città!$A$2:$B$6,2,FALSE)</f>
        <v>Macerata</v>
      </c>
      <c r="G23" t="str">
        <f t="shared" si="0"/>
        <v>Alto</v>
      </c>
    </row>
    <row r="24" spans="1:7" x14ac:dyDescent="0.2">
      <c r="A24">
        <v>25</v>
      </c>
      <c r="B24" t="s">
        <v>26</v>
      </c>
      <c r="C24" t="s">
        <v>27</v>
      </c>
      <c r="D24" s="3">
        <v>139.11000000000001</v>
      </c>
      <c r="E24" t="s">
        <v>13</v>
      </c>
      <c r="F24" t="str">
        <f>VLOOKUP(Table4[[#This Row],[Provincia]],Città!$A$2:$B$6,2,FALSE)</f>
        <v>Macerata</v>
      </c>
      <c r="G24" t="str">
        <f t="shared" si="0"/>
        <v>Alto</v>
      </c>
    </row>
    <row r="25" spans="1:7" x14ac:dyDescent="0.2">
      <c r="A25">
        <v>14</v>
      </c>
      <c r="B25" t="s">
        <v>7</v>
      </c>
      <c r="C25" t="s">
        <v>14</v>
      </c>
      <c r="D25" s="3">
        <v>140.12</v>
      </c>
      <c r="E25" t="s">
        <v>11</v>
      </c>
      <c r="F25" t="str">
        <f>VLOOKUP(Table4[[#This Row],[Provincia]],Città!$A$2:$B$6,2,FALSE)</f>
        <v>Fermo</v>
      </c>
      <c r="G25" t="str">
        <f t="shared" si="0"/>
        <v>Alto</v>
      </c>
    </row>
    <row r="26" spans="1:7" x14ac:dyDescent="0.2">
      <c r="A26">
        <v>3</v>
      </c>
      <c r="B26" t="s">
        <v>7</v>
      </c>
      <c r="C26" t="s">
        <v>21</v>
      </c>
      <c r="D26" s="3">
        <v>140.69999999999999</v>
      </c>
      <c r="E26" t="s">
        <v>13</v>
      </c>
      <c r="F26" t="str">
        <f>VLOOKUP(Table4[[#This Row],[Provincia]],Città!$A$2:$B$6,2,FALSE)</f>
        <v>Fermo</v>
      </c>
      <c r="G26" t="str">
        <f t="shared" si="0"/>
        <v>Alto</v>
      </c>
    </row>
  </sheetData>
  <conditionalFormatting sqref="D2:D26">
    <cfRule type="cellIs" dxfId="4" priority="5" operator="greaterThan">
      <formula>100</formula>
    </cfRule>
  </conditionalFormatting>
  <conditionalFormatting sqref="D21:D26">
    <cfRule type="cellIs" dxfId="3" priority="1" operator="greaterThan">
      <formula>100</formula>
    </cfRule>
    <cfRule type="cellIs" dxfId="2" priority="2" operator="greaterThan">
      <formula>100</formula>
    </cfRule>
    <cfRule type="cellIs" dxfId="1" priority="3" operator="greaterThan">
      <formula>100</formula>
    </cfRule>
    <cfRule type="cellIs" dxfId="0" priority="4" operator="greaterThan">
      <formula>100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B6"/>
  <sheetViews>
    <sheetView workbookViewId="0">
      <selection activeCell="E30" sqref="E30"/>
    </sheetView>
  </sheetViews>
  <sheetFormatPr baseColWidth="10" defaultColWidth="8.83203125" defaultRowHeight="15" x14ac:dyDescent="0.2"/>
  <cols>
    <col min="1" max="1" width="12.83203125" bestFit="1" customWidth="1"/>
    <col min="2" max="2" width="8.83203125" bestFit="1" customWidth="1"/>
  </cols>
  <sheetData>
    <row r="1" spans="1:2" x14ac:dyDescent="0.2">
      <c r="A1" s="4" t="s">
        <v>1</v>
      </c>
      <c r="B1" s="4" t="s">
        <v>28</v>
      </c>
    </row>
    <row r="2" spans="1:2" x14ac:dyDescent="0.2">
      <c r="A2" s="5" t="s">
        <v>17</v>
      </c>
      <c r="B2" s="5" t="s">
        <v>17</v>
      </c>
    </row>
    <row r="3" spans="1:2" x14ac:dyDescent="0.2">
      <c r="A3" s="5" t="s">
        <v>25</v>
      </c>
      <c r="B3" s="5" t="s">
        <v>29</v>
      </c>
    </row>
    <row r="4" spans="1:2" x14ac:dyDescent="0.2">
      <c r="A4" s="5" t="s">
        <v>7</v>
      </c>
      <c r="B4" s="5" t="s">
        <v>7</v>
      </c>
    </row>
    <row r="5" spans="1:2" x14ac:dyDescent="0.2">
      <c r="A5" s="5" t="s">
        <v>22</v>
      </c>
      <c r="B5" s="5" t="s">
        <v>30</v>
      </c>
    </row>
    <row r="6" spans="1:2" x14ac:dyDescent="0.2">
      <c r="A6" s="5" t="s">
        <v>26</v>
      </c>
      <c r="B6" s="5"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21"/>
  <sheetViews>
    <sheetView tabSelected="1" zoomScale="88" zoomScaleNormal="100" workbookViewId="0">
      <selection activeCell="H11" sqref="H11"/>
    </sheetView>
  </sheetViews>
  <sheetFormatPr baseColWidth="10" defaultColWidth="8.83203125" defaultRowHeight="15" x14ac:dyDescent="0.2"/>
  <cols>
    <col min="1" max="1" width="147.1640625" customWidth="1"/>
  </cols>
  <sheetData>
    <row r="1" spans="1:6" ht="16" x14ac:dyDescent="0.2">
      <c r="A1" s="6" t="s">
        <v>31</v>
      </c>
      <c r="B1" s="26" t="s">
        <v>32</v>
      </c>
      <c r="C1" s="27"/>
      <c r="D1" s="27"/>
      <c r="E1" s="28"/>
    </row>
    <row r="2" spans="1:6" ht="20" x14ac:dyDescent="0.2">
      <c r="A2" s="7" t="s">
        <v>33</v>
      </c>
      <c r="B2" s="17" t="s">
        <v>34</v>
      </c>
      <c r="C2" s="18"/>
      <c r="D2" s="18"/>
      <c r="E2" s="19"/>
    </row>
    <row r="3" spans="1:6" ht="20" x14ac:dyDescent="0.2">
      <c r="A3" s="7" t="s">
        <v>35</v>
      </c>
      <c r="B3" s="17" t="s">
        <v>36</v>
      </c>
      <c r="C3" s="18"/>
      <c r="D3" s="18"/>
      <c r="E3" s="19"/>
    </row>
    <row r="4" spans="1:6" ht="20" x14ac:dyDescent="0.2">
      <c r="A4" s="7" t="s">
        <v>37</v>
      </c>
      <c r="B4" s="17" t="s">
        <v>38</v>
      </c>
      <c r="C4" s="18"/>
      <c r="D4" s="18"/>
      <c r="E4" s="19"/>
    </row>
    <row r="5" spans="1:6" ht="20" x14ac:dyDescent="0.2">
      <c r="A5" s="7" t="s">
        <v>39</v>
      </c>
      <c r="B5" s="17" t="s">
        <v>40</v>
      </c>
      <c r="C5" s="18"/>
      <c r="D5" s="18"/>
      <c r="E5" s="19"/>
    </row>
    <row r="6" spans="1:6" ht="20" x14ac:dyDescent="0.2">
      <c r="A6" s="7" t="s">
        <v>41</v>
      </c>
      <c r="B6" s="29">
        <f>SUM('Lifestyle Bonus Statali'!D2:D26)</f>
        <v>1597.6499999999999</v>
      </c>
      <c r="C6" s="30"/>
      <c r="D6" s="30"/>
      <c r="E6" s="31"/>
    </row>
    <row r="7" spans="1:6" ht="20" x14ac:dyDescent="0.2">
      <c r="A7" s="7" t="s">
        <v>42</v>
      </c>
      <c r="B7" s="20">
        <f>SUMIF('Lifestyle Bonus Statali'!C2:C26,"giugno",'Lifestyle Bonus Statali'!D2:D26)</f>
        <v>179.76999999999998</v>
      </c>
      <c r="C7" s="21"/>
      <c r="D7" s="21"/>
      <c r="E7" s="22"/>
    </row>
    <row r="8" spans="1:6" ht="20" x14ac:dyDescent="0.2">
      <c r="A8" s="7" t="s">
        <v>43</v>
      </c>
      <c r="B8" s="17" t="s">
        <v>67</v>
      </c>
      <c r="C8" s="18"/>
      <c r="D8" s="18"/>
      <c r="E8" s="19"/>
    </row>
    <row r="9" spans="1:6" ht="23" x14ac:dyDescent="0.25">
      <c r="A9" s="7" t="s">
        <v>44</v>
      </c>
      <c r="B9" s="14" t="s">
        <v>45</v>
      </c>
      <c r="C9" s="15"/>
      <c r="D9" s="15"/>
      <c r="E9" s="16"/>
      <c r="F9" s="32"/>
    </row>
    <row r="10" spans="1:6" ht="20" x14ac:dyDescent="0.2">
      <c r="A10" s="7" t="s">
        <v>46</v>
      </c>
      <c r="B10" s="17">
        <f>COUNTIF('Lifestyle Bonus Statali'!D2:D26,"&gt;100")</f>
        <v>6</v>
      </c>
      <c r="C10" s="18"/>
      <c r="D10" s="18"/>
      <c r="E10" s="19"/>
    </row>
    <row r="11" spans="1:6" ht="20" x14ac:dyDescent="0.2">
      <c r="A11" s="7" t="s">
        <v>47</v>
      </c>
      <c r="B11" s="17">
        <f>COUNTIF('Lifestyle Bonus Statali'!B2:B26,"ascoli piceno")</f>
        <v>1</v>
      </c>
      <c r="C11" s="18"/>
      <c r="D11" s="18"/>
      <c r="E11" s="19"/>
    </row>
    <row r="12" spans="1:6" ht="20" x14ac:dyDescent="0.2">
      <c r="A12" s="7" t="s">
        <v>48</v>
      </c>
      <c r="B12" s="17">
        <f>COUNTIFS('Lifestyle Bonus Statali'!B2:B26,"fermo",'Lifestyle Bonus Statali'!C2:C26,"aprile")</f>
        <v>6</v>
      </c>
      <c r="C12" s="18"/>
      <c r="D12" s="18"/>
      <c r="E12" s="19"/>
    </row>
    <row r="13" spans="1:6" ht="20" x14ac:dyDescent="0.2">
      <c r="A13" s="7" t="s">
        <v>49</v>
      </c>
      <c r="B13" s="20">
        <f>SUMIFS('Lifestyle Bonus Statali'!D2:D26,'Lifestyle Bonus Statali'!C2:C26,"aprile",'Lifestyle Bonus Statali'!E2:E26,"bonus gas")</f>
        <v>100.80000000000001</v>
      </c>
      <c r="C13" s="21"/>
      <c r="D13" s="21"/>
      <c r="E13" s="22"/>
    </row>
    <row r="14" spans="1:6" ht="20" x14ac:dyDescent="0.2">
      <c r="A14" s="7" t="s">
        <v>50</v>
      </c>
      <c r="B14" s="23">
        <f>AVERAGE('Lifestyle Bonus Statali'!D2:D26)</f>
        <v>63.905999999999992</v>
      </c>
      <c r="C14" s="24"/>
      <c r="D14" s="24"/>
      <c r="E14" s="25"/>
    </row>
    <row r="15" spans="1:6" ht="20" x14ac:dyDescent="0.2">
      <c r="A15" s="7" t="s">
        <v>51</v>
      </c>
      <c r="B15" s="23">
        <f>AVERAGEIF('Lifestyle Bonus Statali'!D2:D26,"&gt;20")</f>
        <v>74.222857142857151</v>
      </c>
      <c r="C15" s="24"/>
      <c r="D15" s="24"/>
      <c r="E15" s="25"/>
    </row>
    <row r="16" spans="1:6" ht="20" x14ac:dyDescent="0.2">
      <c r="A16" s="7" t="s">
        <v>52</v>
      </c>
      <c r="B16" s="23">
        <f>AVERAGEIF('Lifestyle Bonus Statali'!D2:D26,"&lt;106")</f>
        <v>44.551052631578948</v>
      </c>
      <c r="C16" s="24"/>
      <c r="D16" s="24"/>
      <c r="E16" s="25"/>
    </row>
    <row r="17" spans="1:5" ht="40" x14ac:dyDescent="0.2">
      <c r="A17" s="7" t="s">
        <v>53</v>
      </c>
      <c r="B17" s="14" t="s">
        <v>45</v>
      </c>
      <c r="C17" s="15"/>
      <c r="D17" s="15"/>
      <c r="E17" s="16"/>
    </row>
    <row r="18" spans="1:5" ht="40" x14ac:dyDescent="0.2">
      <c r="A18" s="7" t="s">
        <v>54</v>
      </c>
      <c r="B18" s="14" t="s">
        <v>45</v>
      </c>
      <c r="C18" s="15"/>
      <c r="D18" s="15"/>
      <c r="E18" s="16"/>
    </row>
    <row r="19" spans="1:5" ht="40" x14ac:dyDescent="0.2">
      <c r="A19" s="7" t="s">
        <v>55</v>
      </c>
      <c r="B19" s="11" t="s">
        <v>56</v>
      </c>
      <c r="C19" s="12"/>
      <c r="D19" s="12"/>
      <c r="E19" s="13"/>
    </row>
    <row r="20" spans="1:5" ht="20" x14ac:dyDescent="0.2">
      <c r="A20" s="7" t="s">
        <v>57</v>
      </c>
      <c r="B20" s="14" t="s">
        <v>45</v>
      </c>
      <c r="C20" s="15"/>
      <c r="D20" s="15"/>
      <c r="E20" s="16"/>
    </row>
    <row r="21" spans="1:5" ht="20" x14ac:dyDescent="0.2">
      <c r="A21" s="7" t="s">
        <v>58</v>
      </c>
      <c r="B21" s="17" t="s">
        <v>59</v>
      </c>
      <c r="C21" s="18"/>
      <c r="D21" s="18"/>
      <c r="E21" s="19"/>
    </row>
  </sheetData>
  <mergeCells count="21">
    <mergeCell ref="B12:E12"/>
    <mergeCell ref="B1:E1"/>
    <mergeCell ref="B2:E2"/>
    <mergeCell ref="B3:E3"/>
    <mergeCell ref="B4:E4"/>
    <mergeCell ref="B5:E5"/>
    <mergeCell ref="B6:E6"/>
    <mergeCell ref="B7:E7"/>
    <mergeCell ref="B8:E8"/>
    <mergeCell ref="B9:E9"/>
    <mergeCell ref="B10:E10"/>
    <mergeCell ref="B11:E11"/>
    <mergeCell ref="B19:E19"/>
    <mergeCell ref="B20:E20"/>
    <mergeCell ref="B21:E21"/>
    <mergeCell ref="B13:E13"/>
    <mergeCell ref="B14:E14"/>
    <mergeCell ref="B15:E15"/>
    <mergeCell ref="B16:E16"/>
    <mergeCell ref="B17:E17"/>
    <mergeCell ref="B18:E18"/>
  </mergeCells>
  <conditionalFormatting sqref="B9:E9">
    <cfRule type="iconSet" priority="3">
      <iconSet iconSet="3Symbols2">
        <cfvo type="percent" val="0"/>
        <cfvo type="percent" val="33"/>
        <cfvo type="percent" val="67"/>
      </iconSet>
    </cfRule>
    <cfRule type="iconSet" priority="4">
      <iconSet iconSet="3Symbols2">
        <cfvo type="percent" val="0"/>
        <cfvo type="percent" val="33"/>
        <cfvo type="percent" val="67"/>
      </iconSet>
    </cfRule>
  </conditionalFormatting>
  <conditionalFormatting sqref="B17:E17">
    <cfRule type="iconSet" priority="7">
      <iconSet iconSet="3Symbols2">
        <cfvo type="percent" val="0"/>
        <cfvo type="percent" val="33"/>
        <cfvo type="percent" val="67"/>
      </iconSet>
    </cfRule>
  </conditionalFormatting>
  <conditionalFormatting sqref="B17:E18">
    <cfRule type="iconSet" priority="6">
      <iconSet iconSet="3Symbols2">
        <cfvo type="percent" val="0"/>
        <cfvo type="percent" val="33"/>
        <cfvo type="percent" val="67"/>
      </iconSet>
    </cfRule>
  </conditionalFormatting>
  <conditionalFormatting sqref="B18:E18">
    <cfRule type="iconSet" priority="5">
      <iconSet iconSet="3Symbols2">
        <cfvo type="percent" val="0"/>
        <cfvo type="percent" val="33"/>
        <cfvo type="percent" val="67"/>
      </iconSet>
    </cfRule>
  </conditionalFormatting>
  <conditionalFormatting sqref="B20:E20">
    <cfRule type="iconSet" priority="1">
      <iconSet iconSet="3Symbols2">
        <cfvo type="percent" val="0"/>
        <cfvo type="percent" val="33"/>
        <cfvo type="percent" val="67"/>
      </iconSet>
    </cfRule>
    <cfRule type="iconSet" priority="2">
      <iconSet iconSet="3Symbols2">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L1048576"/>
  <sheetViews>
    <sheetView workbookViewId="0">
      <selection activeCell="F30" sqref="F30"/>
    </sheetView>
  </sheetViews>
  <sheetFormatPr baseColWidth="10" defaultColWidth="8.83203125" defaultRowHeight="15" x14ac:dyDescent="0.2"/>
  <cols>
    <col min="1" max="1" width="16.1640625" bestFit="1" customWidth="1"/>
    <col min="2" max="2" width="16" customWidth="1"/>
    <col min="3" max="3" width="9.6640625" bestFit="1" customWidth="1"/>
    <col min="4" max="4" width="11.5" bestFit="1" customWidth="1"/>
    <col min="5" max="6" width="7" customWidth="1"/>
    <col min="7" max="7" width="10.83203125" hidden="1" customWidth="1"/>
    <col min="9" max="9" width="4" bestFit="1" customWidth="1"/>
    <col min="10" max="10" width="13.5" customWidth="1"/>
    <col min="11" max="11" width="23.1640625" customWidth="1"/>
    <col min="12" max="12" width="9.6640625" bestFit="1" customWidth="1"/>
    <col min="13" max="13" width="11.5" bestFit="1" customWidth="1"/>
    <col min="14" max="15" width="7" bestFit="1" customWidth="1"/>
    <col min="16" max="16" width="10.83203125" bestFit="1" customWidth="1"/>
  </cols>
  <sheetData>
    <row r="1" spans="1:12" x14ac:dyDescent="0.2">
      <c r="A1" s="5" t="s">
        <v>60</v>
      </c>
      <c r="B1" s="5" t="s">
        <v>61</v>
      </c>
      <c r="C1" s="5"/>
      <c r="D1" s="5"/>
      <c r="E1" s="5"/>
      <c r="F1" s="5"/>
      <c r="G1" s="5"/>
      <c r="I1" s="8" t="s">
        <v>62</v>
      </c>
      <c r="J1" s="5" t="s">
        <v>63</v>
      </c>
      <c r="K1" s="5" t="s">
        <v>64</v>
      </c>
      <c r="L1" s="9" t="s">
        <v>65</v>
      </c>
    </row>
    <row r="2" spans="1:12" x14ac:dyDescent="0.2">
      <c r="A2" s="5" t="s">
        <v>63</v>
      </c>
      <c r="B2" s="5" t="s">
        <v>11</v>
      </c>
      <c r="C2" s="5" t="s">
        <v>19</v>
      </c>
      <c r="D2" s="5" t="s">
        <v>16</v>
      </c>
      <c r="E2" s="5" t="s">
        <v>9</v>
      </c>
      <c r="F2" s="5" t="s">
        <v>13</v>
      </c>
      <c r="G2" s="5" t="s">
        <v>66</v>
      </c>
      <c r="I2" s="8"/>
      <c r="J2" s="10" t="s">
        <v>11</v>
      </c>
      <c r="K2" s="5">
        <v>315.99</v>
      </c>
      <c r="L2" s="9"/>
    </row>
    <row r="3" spans="1:12" x14ac:dyDescent="0.2">
      <c r="A3" s="10" t="s">
        <v>21</v>
      </c>
      <c r="B3" s="5"/>
      <c r="C3" s="5">
        <v>38.04</v>
      </c>
      <c r="D3" s="5"/>
      <c r="E3" s="5">
        <v>110.15</v>
      </c>
      <c r="F3" s="5">
        <v>140.69999999999999</v>
      </c>
      <c r="G3" s="5">
        <v>288.89</v>
      </c>
      <c r="I3" s="8"/>
      <c r="J3" s="10" t="s">
        <v>19</v>
      </c>
      <c r="K3" s="5">
        <v>173.97</v>
      </c>
      <c r="L3" s="9"/>
    </row>
    <row r="4" spans="1:12" x14ac:dyDescent="0.2">
      <c r="A4" s="10" t="s">
        <v>15</v>
      </c>
      <c r="B4" s="5">
        <v>52.47</v>
      </c>
      <c r="C4" s="5"/>
      <c r="D4" s="5">
        <v>32.15</v>
      </c>
      <c r="E4" s="5"/>
      <c r="F4" s="5"/>
      <c r="G4" s="5">
        <v>84.62</v>
      </c>
      <c r="I4" s="8"/>
      <c r="J4" s="10" t="s">
        <v>16</v>
      </c>
      <c r="K4" s="5">
        <v>439.53</v>
      </c>
      <c r="L4" s="9"/>
    </row>
    <row r="5" spans="1:12" x14ac:dyDescent="0.2">
      <c r="A5" s="10" t="s">
        <v>10</v>
      </c>
      <c r="B5" s="5">
        <v>10.3</v>
      </c>
      <c r="C5" s="5"/>
      <c r="D5" s="5"/>
      <c r="E5" s="5"/>
      <c r="F5" s="5">
        <v>31.11</v>
      </c>
      <c r="G5" s="5">
        <v>41.41</v>
      </c>
      <c r="I5" s="8"/>
      <c r="J5" s="10" t="s">
        <v>9</v>
      </c>
      <c r="K5" s="5">
        <v>252.82000000000002</v>
      </c>
      <c r="L5" s="9"/>
    </row>
    <row r="6" spans="1:12" x14ac:dyDescent="0.2">
      <c r="A6" s="10" t="s">
        <v>12</v>
      </c>
      <c r="B6" s="5"/>
      <c r="C6" s="5">
        <v>100.80000000000001</v>
      </c>
      <c r="D6" s="5">
        <v>108</v>
      </c>
      <c r="E6" s="5">
        <v>14.03</v>
      </c>
      <c r="F6" s="5">
        <v>104.42</v>
      </c>
      <c r="G6" s="5">
        <v>327.25</v>
      </c>
      <c r="I6" s="8"/>
      <c r="J6" s="10" t="s">
        <v>13</v>
      </c>
      <c r="K6" s="5">
        <v>415.34</v>
      </c>
      <c r="L6" s="9"/>
    </row>
    <row r="7" spans="1:12" x14ac:dyDescent="0.2">
      <c r="A7" s="10" t="s">
        <v>14</v>
      </c>
      <c r="B7" s="5">
        <v>140.12</v>
      </c>
      <c r="C7" s="5"/>
      <c r="D7" s="5"/>
      <c r="E7" s="5">
        <v>23.31</v>
      </c>
      <c r="F7" s="5"/>
      <c r="G7" s="5">
        <v>163.43</v>
      </c>
      <c r="I7" s="8"/>
      <c r="J7" s="10" t="s">
        <v>66</v>
      </c>
      <c r="K7" s="5">
        <v>1597.6499999999999</v>
      </c>
      <c r="L7" s="9"/>
    </row>
    <row r="8" spans="1:12" x14ac:dyDescent="0.2">
      <c r="A8" s="10" t="s">
        <v>18</v>
      </c>
      <c r="B8" s="5"/>
      <c r="C8" s="5">
        <v>35.130000000000003</v>
      </c>
      <c r="D8" s="5">
        <v>144.63999999999999</v>
      </c>
      <c r="E8" s="5"/>
      <c r="F8" s="5"/>
      <c r="G8" s="5">
        <v>179.76999999999998</v>
      </c>
    </row>
    <row r="9" spans="1:12" x14ac:dyDescent="0.2">
      <c r="A9" s="10" t="s">
        <v>20</v>
      </c>
      <c r="B9" s="5"/>
      <c r="C9" s="5"/>
      <c r="D9" s="5"/>
      <c r="E9" s="5">
        <v>35.71</v>
      </c>
      <c r="F9" s="5"/>
      <c r="G9" s="5">
        <v>35.71</v>
      </c>
    </row>
    <row r="10" spans="1:12" x14ac:dyDescent="0.2">
      <c r="A10" s="10" t="s">
        <v>23</v>
      </c>
      <c r="B10" s="5">
        <v>113.1</v>
      </c>
      <c r="C10" s="5"/>
      <c r="D10" s="5">
        <v>55.1</v>
      </c>
      <c r="E10" s="5"/>
      <c r="F10" s="5"/>
      <c r="G10" s="5">
        <v>168.2</v>
      </c>
    </row>
    <row r="11" spans="1:12" x14ac:dyDescent="0.2">
      <c r="A11" s="10" t="s">
        <v>8</v>
      </c>
      <c r="B11" s="5"/>
      <c r="C11" s="5"/>
      <c r="D11" s="5">
        <v>99.64</v>
      </c>
      <c r="E11" s="5">
        <v>2.64</v>
      </c>
      <c r="F11" s="5"/>
      <c r="G11" s="5">
        <v>102.28</v>
      </c>
    </row>
    <row r="12" spans="1:12" x14ac:dyDescent="0.2">
      <c r="A12" s="10" t="s">
        <v>24</v>
      </c>
      <c r="B12" s="5"/>
      <c r="C12" s="5"/>
      <c r="D12" s="5"/>
      <c r="E12" s="5">
        <v>66.98</v>
      </c>
      <c r="F12" s="5"/>
      <c r="G12" s="5">
        <v>66.98</v>
      </c>
    </row>
    <row r="13" spans="1:12" x14ac:dyDescent="0.2">
      <c r="A13" s="10" t="s">
        <v>27</v>
      </c>
      <c r="B13" s="5"/>
      <c r="C13" s="5"/>
      <c r="D13" s="5"/>
      <c r="E13" s="5"/>
      <c r="F13" s="5">
        <v>139.11000000000001</v>
      </c>
      <c r="G13" s="5">
        <v>139.11000000000001</v>
      </c>
    </row>
    <row r="14" spans="1:12" x14ac:dyDescent="0.2">
      <c r="A14" s="10" t="s">
        <v>66</v>
      </c>
      <c r="B14" s="5">
        <v>315.99</v>
      </c>
      <c r="C14" s="5">
        <v>173.97</v>
      </c>
      <c r="D14" s="5">
        <v>439.53</v>
      </c>
      <c r="E14" s="5">
        <v>252.82</v>
      </c>
      <c r="F14" s="5">
        <v>415.34000000000003</v>
      </c>
      <c r="G14" s="5">
        <v>1597.65</v>
      </c>
    </row>
    <row r="1048576" spans="9:9" x14ac:dyDescent="0.2">
      <c r="I1048576" s="8"/>
    </row>
  </sheetData>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
  <sheetViews>
    <sheetView zoomScale="97" workbookViewId="0">
      <selection activeCell="E27" sqref="E27"/>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Lifestyle Bonus Statali</vt:lpstr>
      <vt:lpstr>Città</vt:lpstr>
      <vt:lpstr>Domande</vt:lpstr>
      <vt:lpstr>Pivot</vt:lpstr>
      <vt:lpstr>Grafici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Fernando</dc:creator>
  <cp:lastModifiedBy>Caggiula  Alessio</cp:lastModifiedBy>
  <dcterms:created xsi:type="dcterms:W3CDTF">2025-04-09T10:32:33Z</dcterms:created>
  <dcterms:modified xsi:type="dcterms:W3CDTF">2026-05-19T15:26:25Z</dcterms:modified>
</cp:coreProperties>
</file>